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csulb-my.sharepoint.com/personal/vincent_thornton01_student_csulb_edu/Documents/"/>
    </mc:Choice>
  </mc:AlternateContent>
  <xr:revisionPtr revIDLastSave="0" documentId="8_{A73C5DC4-B577-4F65-A5FE-4ACBA5B268E1}" xr6:coauthVersionLast="47" xr6:coauthVersionMax="47" xr10:uidLastSave="{00000000-0000-0000-0000-000000000000}"/>
  <bookViews>
    <workbookView xWindow="0" yWindow="700" windowWidth="31800" windowHeight="20140" activeTab="2" xr2:uid="{3C982F51-AB90-454A-B9D8-ACB755C90596}"/>
  </bookViews>
  <sheets>
    <sheet name="DCF" sheetId="1" r:id="rId1"/>
    <sheet name="Assumptions" sheetId="9" r:id="rId2"/>
    <sheet name="P&amp;L Assumptions" sheetId="2" r:id="rId3"/>
    <sheet name="BS and Working Capital Analysis" sheetId="3" r:id="rId4"/>
    <sheet name="WACC" sheetId="5" r:id="rId5"/>
    <sheet name="DATA" sheetId="13" r:id="rId6"/>
    <sheet name="Statements" sheetId="10" r:id="rId7"/>
  </sheets>
  <definedNames>
    <definedName name="tgr" localSheetId="0">DCF!#REF!</definedName>
    <definedName name="wacc" localSheetId="0">DCF!#REF!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 i="1" l="1"/>
  <c r="N44" i="1"/>
  <c r="N41" i="1"/>
  <c r="E29" i="1"/>
  <c r="G29" i="1"/>
  <c r="H29" i="1"/>
  <c r="F29" i="1"/>
  <c r="E26" i="1"/>
  <c r="H28" i="1"/>
  <c r="G28" i="1"/>
  <c r="F28" i="1"/>
  <c r="E28" i="1"/>
  <c r="H25" i="1"/>
  <c r="G25" i="1"/>
  <c r="F25" i="1"/>
  <c r="E25" i="1"/>
  <c r="H22" i="1"/>
  <c r="G22" i="1"/>
  <c r="F22" i="1"/>
  <c r="E22" i="1"/>
  <c r="H49" i="2"/>
  <c r="H18" i="1"/>
  <c r="G18" i="1"/>
  <c r="F18" i="1"/>
  <c r="E18" i="1"/>
  <c r="F19" i="1"/>
  <c r="G19" i="1"/>
  <c r="H19" i="1"/>
  <c r="E19" i="1"/>
  <c r="F16" i="1"/>
  <c r="G16" i="1"/>
  <c r="H16" i="1"/>
  <c r="E16" i="1"/>
  <c r="F15" i="1"/>
  <c r="G15" i="1"/>
  <c r="H15" i="1"/>
  <c r="E15" i="1"/>
  <c r="G12" i="1"/>
  <c r="D12" i="3"/>
  <c r="D9" i="3"/>
  <c r="H50" i="2"/>
  <c r="I49" i="2"/>
  <c r="D50" i="2"/>
  <c r="E50" i="2"/>
  <c r="F50" i="2"/>
  <c r="C50" i="2"/>
  <c r="F49" i="2"/>
  <c r="E49" i="2"/>
  <c r="D49" i="2"/>
  <c r="C49" i="2"/>
  <c r="C38" i="2"/>
  <c r="D38" i="2"/>
  <c r="F37" i="2"/>
  <c r="E37" i="2"/>
  <c r="D37" i="2"/>
  <c r="C37" i="2"/>
  <c r="F29" i="2"/>
  <c r="E29" i="2"/>
  <c r="C29" i="2"/>
  <c r="C30" i="2"/>
  <c r="D29" i="2"/>
  <c r="E24" i="2"/>
  <c r="D24" i="2"/>
  <c r="F23" i="2"/>
  <c r="E23" i="2"/>
  <c r="C23" i="2"/>
  <c r="C24" i="2"/>
  <c r="D23" i="2"/>
  <c r="F17" i="2"/>
  <c r="E17" i="2"/>
  <c r="D17" i="2"/>
  <c r="C17" i="2"/>
  <c r="C18" i="2"/>
  <c r="C6" i="2"/>
  <c r="F6" i="2"/>
  <c r="E6" i="2"/>
  <c r="D6" i="2"/>
  <c r="C9" i="13"/>
  <c r="D9" i="13"/>
  <c r="E9" i="13"/>
  <c r="F9" i="13"/>
  <c r="G9" i="13"/>
  <c r="D4" i="1" a="1"/>
  <c r="D4" i="1" s="1"/>
  <c r="J34" i="1"/>
  <c r="J18" i="3"/>
  <c r="K18" i="3"/>
  <c r="L18" i="3"/>
  <c r="M18" i="3"/>
  <c r="I18" i="3"/>
  <c r="D17" i="3"/>
  <c r="D18" i="3"/>
  <c r="E17" i="3"/>
  <c r="E18" i="3"/>
  <c r="F17" i="3"/>
  <c r="F18" i="3"/>
  <c r="G17" i="3"/>
  <c r="G18" i="3"/>
  <c r="C17" i="3"/>
  <c r="C18" i="3"/>
  <c r="D7" i="5"/>
  <c r="D14" i="5"/>
  <c r="D5" i="3"/>
  <c r="E5" i="3"/>
  <c r="F5" i="3"/>
  <c r="G5" i="3"/>
  <c r="C5" i="3"/>
  <c r="D12" i="5"/>
  <c r="D10" i="5"/>
  <c r="N42" i="1"/>
  <c r="D11" i="3"/>
  <c r="C11" i="3"/>
  <c r="C12" i="3"/>
  <c r="D8" i="3"/>
  <c r="C8" i="3"/>
  <c r="C9" i="3"/>
  <c r="C6" i="3"/>
  <c r="F11" i="3"/>
  <c r="G11" i="3"/>
  <c r="E11" i="3"/>
  <c r="F8" i="3"/>
  <c r="G8" i="3"/>
  <c r="E8" i="3"/>
  <c r="C14" i="3"/>
  <c r="F24" i="2"/>
  <c r="E30" i="2"/>
  <c r="F30" i="2"/>
  <c r="D6" i="3"/>
  <c r="D18" i="2"/>
  <c r="D30" i="2"/>
  <c r="E18" i="2"/>
  <c r="F18" i="2"/>
  <c r="D14" i="3"/>
  <c r="F12" i="3"/>
  <c r="G12" i="3"/>
  <c r="E12" i="3"/>
  <c r="F9" i="3"/>
  <c r="G9" i="3"/>
  <c r="E9" i="3"/>
  <c r="F6" i="3"/>
  <c r="G6" i="3"/>
  <c r="E6" i="3"/>
  <c r="I30" i="2"/>
  <c r="J30" i="2"/>
  <c r="K30" i="2"/>
  <c r="L30" i="2"/>
  <c r="H30" i="2"/>
  <c r="F11" i="1"/>
  <c r="G14" i="3"/>
  <c r="E14" i="3"/>
  <c r="F14" i="3"/>
  <c r="J9" i="3"/>
  <c r="K9" i="3"/>
  <c r="I9" i="3"/>
  <c r="M9" i="3"/>
  <c r="L9" i="3"/>
  <c r="L12" i="3"/>
  <c r="M12" i="3"/>
  <c r="I12" i="3"/>
  <c r="J12" i="3"/>
  <c r="K12" i="3"/>
  <c r="L6" i="3"/>
  <c r="M6" i="3"/>
  <c r="I6" i="3"/>
  <c r="J6" i="3"/>
  <c r="K6" i="3"/>
  <c r="K23" i="1"/>
  <c r="L23" i="1"/>
  <c r="M23" i="1"/>
  <c r="N23" i="1"/>
  <c r="J23" i="1"/>
  <c r="L50" i="2"/>
  <c r="K50" i="2"/>
  <c r="J50" i="2"/>
  <c r="I50" i="2"/>
  <c r="J49" i="2"/>
  <c r="K49" i="2"/>
  <c r="L44" i="2"/>
  <c r="K44" i="2"/>
  <c r="J44" i="2"/>
  <c r="I44" i="2"/>
  <c r="H44" i="2"/>
  <c r="J13" i="1"/>
  <c r="L38" i="2"/>
  <c r="K38" i="2"/>
  <c r="J38" i="2"/>
  <c r="I38" i="2"/>
  <c r="H38" i="2"/>
  <c r="L24" i="2"/>
  <c r="K24" i="2"/>
  <c r="J24" i="2"/>
  <c r="I24" i="2"/>
  <c r="H24" i="2"/>
  <c r="L18" i="2"/>
  <c r="K18" i="2"/>
  <c r="J18" i="2"/>
  <c r="I18" i="2"/>
  <c r="H18" i="2"/>
  <c r="L12" i="2"/>
  <c r="K12" i="2"/>
  <c r="J12" i="2"/>
  <c r="I12" i="2"/>
  <c r="H12" i="2"/>
  <c r="H11" i="2"/>
  <c r="K13" i="1"/>
  <c r="L13" i="1"/>
  <c r="M13" i="1"/>
  <c r="N13" i="1"/>
  <c r="L49" i="2"/>
  <c r="K14" i="3"/>
  <c r="J14" i="3"/>
  <c r="I14" i="3"/>
  <c r="M14" i="3"/>
  <c r="L14" i="3"/>
  <c r="J19" i="1"/>
  <c r="M19" i="1"/>
  <c r="N19" i="1"/>
  <c r="K19" i="1"/>
  <c r="L19" i="1"/>
  <c r="I11" i="2"/>
  <c r="H37" i="2"/>
  <c r="H5" i="2"/>
  <c r="I17" i="3"/>
  <c r="J25" i="1"/>
  <c r="I5" i="3"/>
  <c r="J11" i="2"/>
  <c r="I37" i="2"/>
  <c r="E23" i="1"/>
  <c r="E38" i="2"/>
  <c r="J12" i="1"/>
  <c r="H43" i="2"/>
  <c r="I5" i="2"/>
  <c r="J17" i="3"/>
  <c r="K25" i="1"/>
  <c r="H23" i="2"/>
  <c r="H17" i="2"/>
  <c r="H13" i="1"/>
  <c r="H12" i="1"/>
  <c r="G13" i="1"/>
  <c r="F12" i="1"/>
  <c r="H29" i="2"/>
  <c r="F13" i="1"/>
  <c r="E12" i="1"/>
  <c r="E13" i="1"/>
  <c r="F44" i="2"/>
  <c r="E44" i="2"/>
  <c r="D44" i="2"/>
  <c r="C44" i="2"/>
  <c r="F38" i="2"/>
  <c r="J15" i="1"/>
  <c r="J26" i="1"/>
  <c r="J5" i="3"/>
  <c r="I11" i="3"/>
  <c r="I8" i="3"/>
  <c r="K11" i="2"/>
  <c r="J37" i="2"/>
  <c r="J5" i="2"/>
  <c r="K17" i="3"/>
  <c r="L25" i="1"/>
  <c r="I29" i="2"/>
  <c r="J22" i="1"/>
  <c r="F26" i="1"/>
  <c r="K29" i="1"/>
  <c r="H26" i="1"/>
  <c r="G26" i="1"/>
  <c r="I23" i="2"/>
  <c r="K12" i="1"/>
  <c r="I43" i="2"/>
  <c r="I17" i="2"/>
  <c r="K28" i="1"/>
  <c r="J29" i="1"/>
  <c r="L29" i="1"/>
  <c r="N29" i="1"/>
  <c r="K15" i="1"/>
  <c r="K26" i="1"/>
  <c r="J18" i="1"/>
  <c r="J21" i="1"/>
  <c r="K5" i="3"/>
  <c r="J11" i="3"/>
  <c r="J8" i="3"/>
  <c r="L11" i="2"/>
  <c r="K37" i="2"/>
  <c r="L12" i="1"/>
  <c r="K5" i="2"/>
  <c r="L17" i="3"/>
  <c r="M25" i="1"/>
  <c r="J17" i="2"/>
  <c r="J23" i="2"/>
  <c r="J29" i="2"/>
  <c r="K22" i="1"/>
  <c r="J43" i="2"/>
  <c r="M29" i="1"/>
  <c r="L28" i="1"/>
  <c r="J33" i="1"/>
  <c r="L15" i="1"/>
  <c r="L26" i="1"/>
  <c r="K18" i="1"/>
  <c r="K21" i="1"/>
  <c r="K33" i="1"/>
  <c r="L5" i="3"/>
  <c r="K11" i="3"/>
  <c r="K8" i="3"/>
  <c r="L37" i="2"/>
  <c r="K17" i="2"/>
  <c r="L5" i="2"/>
  <c r="M17" i="3"/>
  <c r="N25" i="1"/>
  <c r="K23" i="2"/>
  <c r="K43" i="2"/>
  <c r="M12" i="1"/>
  <c r="K29" i="2"/>
  <c r="L22" i="1"/>
  <c r="M28" i="1"/>
  <c r="M15" i="1"/>
  <c r="M26" i="1"/>
  <c r="L18" i="1"/>
  <c r="L21" i="1"/>
  <c r="L33" i="1"/>
  <c r="M5" i="3"/>
  <c r="L11" i="3"/>
  <c r="L8" i="3"/>
  <c r="N12" i="1"/>
  <c r="N28" i="1"/>
  <c r="L23" i="2"/>
  <c r="L17" i="2"/>
  <c r="L43" i="2"/>
  <c r="L29" i="2"/>
  <c r="M22" i="1"/>
  <c r="K10" i="1"/>
  <c r="J35" i="1"/>
  <c r="F23" i="1"/>
  <c r="G23" i="1"/>
  <c r="H23" i="1"/>
  <c r="D5" i="1"/>
  <c r="N15" i="1"/>
  <c r="M18" i="1"/>
  <c r="M21" i="1"/>
  <c r="M33" i="1"/>
  <c r="N26" i="1"/>
  <c r="M8" i="3"/>
  <c r="M11" i="3"/>
  <c r="N22" i="1"/>
  <c r="L10" i="1"/>
  <c r="M10" i="1"/>
  <c r="N10" i="1"/>
  <c r="K34" i="1"/>
  <c r="K35" i="1"/>
  <c r="N18" i="1"/>
  <c r="N21" i="1"/>
  <c r="N33" i="1"/>
  <c r="L34" i="1"/>
  <c r="L35" i="1"/>
  <c r="M35" i="1"/>
  <c r="N38" i="1"/>
  <c r="M34" i="1"/>
  <c r="N39" i="1"/>
  <c r="N34" i="1"/>
  <c r="N35" i="1"/>
  <c r="N40" i="1"/>
  <c r="N43" i="1"/>
  <c r="N45" i="1"/>
  <c r="H5" i="1"/>
  <c r="H6" i="1"/>
  <c r="G11" i="1"/>
  <c r="H11" i="1"/>
  <c r="J11" i="1"/>
  <c r="K11" i="1"/>
  <c r="L11" i="1"/>
  <c r="M11" i="1"/>
  <c r="N11" i="1"/>
  <c r="D19" i="5"/>
  <c r="D13" i="5"/>
  <c r="D8" i="5"/>
  <c r="D21"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<sst xmlns="http://schemas.openxmlformats.org/spreadsheetml/2006/main" count="283" uniqueCount="156">
  <si>
    <t>Company:</t>
  </si>
  <si>
    <t>Ticker:</t>
  </si>
  <si>
    <t>Today's Share Price:</t>
  </si>
  <si>
    <t>WACC</t>
  </si>
  <si>
    <t>Selected case:</t>
  </si>
  <si>
    <t>Date:</t>
  </si>
  <si>
    <t>Implied Share Price:</t>
  </si>
  <si>
    <t>TGR</t>
  </si>
  <si>
    <t>Case 1: Very Optimistic</t>
  </si>
  <si>
    <r>
      <rPr>
        <sz val="11"/>
        <color theme="9"/>
        <rFont val="Calibri"/>
        <family val="2"/>
      </rPr>
      <t>Upside</t>
    </r>
    <r>
      <rPr>
        <sz val="11"/>
        <color rgb="FF002060"/>
        <rFont val="Calibri"/>
        <family val="2"/>
      </rPr>
      <t>/</t>
    </r>
    <r>
      <rPr>
        <sz val="11"/>
        <color rgb="FFC00000"/>
        <rFont val="Calibri"/>
        <family val="2"/>
        <scheme val="minor"/>
      </rPr>
      <t>(Downside)</t>
    </r>
  </si>
  <si>
    <t>Case 2: Base</t>
  </si>
  <si>
    <t>Case 3: Very Pessimistic</t>
  </si>
  <si>
    <t>$ in Millions</t>
  </si>
  <si>
    <t>DCF</t>
  </si>
  <si>
    <t>Revenue</t>
  </si>
  <si>
    <t>% Growth</t>
  </si>
  <si>
    <t>EBIT</t>
  </si>
  <si>
    <t>% of Sales</t>
  </si>
  <si>
    <t>Taxes</t>
  </si>
  <si>
    <t>% of EBIT</t>
  </si>
  <si>
    <t>EBIAT</t>
  </si>
  <si>
    <t>D&amp;A</t>
  </si>
  <si>
    <t>CapEx</t>
  </si>
  <si>
    <t>Change in NWC</t>
  </si>
  <si>
    <t xml:space="preserve"> </t>
  </si>
  <si>
    <t>Unlevered Cash Flow</t>
  </si>
  <si>
    <t>Discount Factor</t>
  </si>
  <si>
    <t>Present Value of FCF</t>
  </si>
  <si>
    <t>Terminal Value</t>
  </si>
  <si>
    <t>Present Value of Terminal Value</t>
  </si>
  <si>
    <t>Enterprise Value</t>
  </si>
  <si>
    <t>+ Cash</t>
  </si>
  <si>
    <t>- Debt</t>
  </si>
  <si>
    <t>Equity Value</t>
  </si>
  <si>
    <t>Diluted Shares Oustanding</t>
  </si>
  <si>
    <t>Share Price</t>
  </si>
  <si>
    <t>ASSUMPTIONS -&gt;</t>
  </si>
  <si>
    <t>P&amp;L assumptions</t>
  </si>
  <si>
    <t>$ in millions</t>
  </si>
  <si>
    <t>FY21
Actual</t>
  </si>
  <si>
    <t>FY22
Actual</t>
  </si>
  <si>
    <t>FY23
Actual</t>
  </si>
  <si>
    <t>FY24
Actual</t>
  </si>
  <si>
    <t>FY25
Forecast</t>
  </si>
  <si>
    <t>FY26
Forecast</t>
  </si>
  <si>
    <t>FY27
Forecast</t>
  </si>
  <si>
    <t>FY28
Forecast</t>
  </si>
  <si>
    <t>FY29
Forecast</t>
  </si>
  <si>
    <t>Notes</t>
  </si>
  <si>
    <t>Revenues</t>
  </si>
  <si>
    <t>done</t>
  </si>
  <si>
    <t xml:space="preserve">Expected Revenue Growth is 2.5%. </t>
  </si>
  <si>
    <t>y-o-y growth%</t>
  </si>
  <si>
    <t>Case 1:</t>
  </si>
  <si>
    <t>Case 2:</t>
  </si>
  <si>
    <t>Case 3:</t>
  </si>
  <si>
    <t>Other Revenues</t>
  </si>
  <si>
    <t>Not Specified</t>
  </si>
  <si>
    <t>Cost of goods sold</t>
  </si>
  <si>
    <t>Average of past 4-5 years</t>
  </si>
  <si>
    <t>% of Revenues</t>
  </si>
  <si>
    <t>Operating Expenses</t>
  </si>
  <si>
    <t>Expected to stay fairly the same - potential positive benefit from their investments in distribution centers</t>
  </si>
  <si>
    <t>In line with histroical figures</t>
  </si>
  <si>
    <t>Interest expenses</t>
  </si>
  <si>
    <t>Flat</t>
  </si>
  <si>
    <t>y-o-y % growth</t>
  </si>
  <si>
    <t>Extraordinary items</t>
  </si>
  <si>
    <t>Not specified</t>
  </si>
  <si>
    <t>BS/Working Capital assumptions</t>
  </si>
  <si>
    <t>FY20 Actual</t>
  </si>
  <si>
    <t>FY21 Actual</t>
  </si>
  <si>
    <t>FY23
Forecast</t>
  </si>
  <si>
    <t>FY24
Forecast</t>
  </si>
  <si>
    <t>Accounts Receivables</t>
  </si>
  <si>
    <t>Days Receivable</t>
  </si>
  <si>
    <t>Inventory</t>
  </si>
  <si>
    <t>Days Inventory</t>
  </si>
  <si>
    <t>Accounts Payables</t>
  </si>
  <si>
    <t>Days Payable</t>
  </si>
  <si>
    <t>Net Trade Cycle</t>
  </si>
  <si>
    <t>WACC =  (% Equity x Cost of Equity) + (% Debt x Cost of Debt x (1 -Tax rate))</t>
  </si>
  <si>
    <t>Cost of Equity = Risk Free Rate + (Beta x (Expected Market Return - Risk Free Rate))</t>
  </si>
  <si>
    <t>Debt</t>
  </si>
  <si>
    <t>Resources</t>
  </si>
  <si>
    <t>% Debt</t>
  </si>
  <si>
    <t xml:space="preserve">https://www.sec.gov/ix?doc=/Archives/edgar/data/27419/000002741923000015/tgt-20230128.htm </t>
  </si>
  <si>
    <t>Cost of Debt</t>
  </si>
  <si>
    <t>*</t>
  </si>
  <si>
    <t>Tax Rate</t>
  </si>
  <si>
    <t>Drivers</t>
  </si>
  <si>
    <t>% Equity</t>
  </si>
  <si>
    <t>PepsiCo Inc</t>
  </si>
  <si>
    <t>Cost of Equity (CAPM)</t>
  </si>
  <si>
    <t>Currency</t>
  </si>
  <si>
    <t>USD</t>
  </si>
  <si>
    <t>Risk Free Rate (rf)</t>
  </si>
  <si>
    <t>Domestic country</t>
  </si>
  <si>
    <t>United States</t>
  </si>
  <si>
    <t>Beta (B)</t>
  </si>
  <si>
    <t>10-year treasury yield</t>
  </si>
  <si>
    <t>Expected Market Return (Erm)</t>
  </si>
  <si>
    <t>Market risk premium US</t>
  </si>
  <si>
    <t>5.9% assuming a 10% market return</t>
  </si>
  <si>
    <t>Company beta</t>
  </si>
  <si>
    <t>Debt + Equity</t>
  </si>
  <si>
    <t xml:space="preserve">Bond Yield </t>
  </si>
  <si>
    <t>Corporate tax rate</t>
  </si>
  <si>
    <t>Bloomberg WACC</t>
  </si>
  <si>
    <t>Expected inflation</t>
  </si>
  <si>
    <t>Fiscal Years</t>
  </si>
  <si>
    <t>FY 2020</t>
  </si>
  <si>
    <t>FY 2021</t>
  </si>
  <si>
    <t>FY 2022</t>
  </si>
  <si>
    <t>FY 2023</t>
  </si>
  <si>
    <t>FY 2024</t>
  </si>
  <si>
    <t>Income Statement Items</t>
  </si>
  <si>
    <t>Total Revenues</t>
  </si>
  <si>
    <t>Done</t>
  </si>
  <si>
    <t>Cost Of Revenues</t>
  </si>
  <si>
    <t>Selling General &amp; Admin Expenses / Total</t>
  </si>
  <si>
    <t>Other Operating Expenses</t>
  </si>
  <si>
    <t>Income Tax Expense</t>
  </si>
  <si>
    <t>Depreciation &amp; Amortization</t>
  </si>
  <si>
    <t>Interest Expense / Total</t>
  </si>
  <si>
    <t>Effective Tax Rate - (Ratio)</t>
  </si>
  <si>
    <t>Balance Sheet</t>
  </si>
  <si>
    <t>Total Current Assets</t>
  </si>
  <si>
    <t>Total Current Liabilities</t>
  </si>
  <si>
    <t>Total Equity</t>
  </si>
  <si>
    <t>Total Debt</t>
  </si>
  <si>
    <t>Short Term Debt</t>
  </si>
  <si>
    <t>-</t>
  </si>
  <si>
    <t>Long Term Debt</t>
  </si>
  <si>
    <t>Cash And Equivalents</t>
  </si>
  <si>
    <t>Shares Outstanding / Current</t>
  </si>
  <si>
    <t>Diluted Weighted Average Shares Outstanding</t>
  </si>
  <si>
    <t>Accounts Payable / Total</t>
  </si>
  <si>
    <t>Total Receivables</t>
  </si>
  <si>
    <t>Restricted Cash</t>
  </si>
  <si>
    <t>Prepaid Expenses</t>
  </si>
  <si>
    <t>Other Current Assets / Total</t>
  </si>
  <si>
    <t>Accrued Expenses / Total</t>
  </si>
  <si>
    <t>Unearned Revenue Current / Total</t>
  </si>
  <si>
    <t>Current Portion of Leases</t>
  </si>
  <si>
    <t>Net Property Plant And Equipment</t>
  </si>
  <si>
    <t>Cash Flow Statement</t>
  </si>
  <si>
    <t>Cash Flow from Operating Activities, Indirect</t>
  </si>
  <si>
    <t>Cash Flow from Investing Activities</t>
  </si>
  <si>
    <t>Cash Flow from Financing Activities</t>
  </si>
  <si>
    <t>Cash and Cash Equivalents, End of Period</t>
  </si>
  <si>
    <t>Supplemental Items</t>
  </si>
  <si>
    <t>EBITDA</t>
  </si>
  <si>
    <t>EBITA</t>
  </si>
  <si>
    <t>Normalized Net Income</t>
  </si>
  <si>
    <t>Statements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</si>
</sst>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164" formatCode="_(* #,##0.0_);_(* \(#,##0.0\);_(* &quot;-&quot;?_);@_)"/>
    <numFmt numFmtId="165" formatCode="_(* #,##0_);_(* \(#,##0\);_(* &quot;-&quot;?_);@_)"/>
    <numFmt numFmtId="166" formatCode="0.0%"/>
    <numFmt numFmtId="167" formatCode="_([$$-409]* #,##0.00_);_([$$-409]* \(#,##0.00\);_([$$-409]* &quot;-&quot;??_);_(@_)"/>
    <numFmt numFmtId="168" formatCode="#,##0.0"/>
    <numFmt numFmtId="169" formatCode="&quot;$&quot;#,##0.00"/>
    <numFmt numFmtId="170" formatCode="&quot;$&quot;#,##0"/>
    <numFmt numFmtId="171" formatCode="0.0"/>
    <numFmt numFmtId="172" formatCode="_(* #,##0.00_);_(* \(#,##0.00\);_(* &quot;-&quot;?_);@_)"/>
    <numFmt numFmtId="173" formatCode="[Green]0%;[Red]\(\-0%\)"/>
    <numFmt numFmtId="174" formatCode="#,##0.000"/>
    <numFmt numFmtId="175" formatCode="#,##0.000_);\(#,##0.000\)"/>
  </numFmts>
  <fonts count="42">
    <font>
      <sz val="11"/>
      <color theme="1"/>
      <name val="Calibri"/>
      <family val="2"/>
      <scheme val="minor"/>
    </font>
    <font>
      <b/>
      <sz val="11"/>
      <color theme="0"/>
      <name val="Calibri"/>
      <family val="2"/>
      <scheme val="minor"/>
    </font>
    <font>
      <sz val="11"/>
      <color theme="0"/>
      <name val="Calibri"/>
      <family val="2"/>
      <scheme val="minor"/>
    </font>
    <font>
      <sz val="11"/>
      <color theme="1"/>
      <name val="Calibri"/>
      <family val="2"/>
      <scheme val="minor"/>
    </font>
    <font>
      <b/>
      <sz val="12"/>
      <color rgb="FF002060"/>
      <name val="Arial"/>
      <family val="2"/>
      <charset val="204"/>
    </font>
    <font>
      <sz val="9"/>
      <name val="Arial"/>
      <family val="2"/>
      <charset val="204"/>
    </font>
    <font>
      <sz val="9"/>
      <color theme="1"/>
      <name val="Arial"/>
      <family val="2"/>
      <charset val="204"/>
    </font>
    <font>
      <b/>
      <sz val="12"/>
      <color rgb="FF002060"/>
      <name val="Arial"/>
      <family val="2"/>
    </font>
    <font>
      <sz val="9"/>
      <color theme="1"/>
      <name val="Arial"/>
      <family val="2"/>
    </font>
    <font>
      <b/>
      <sz val="9"/>
      <color rgb="FF002060"/>
      <name val="Arial"/>
      <family val="2"/>
    </font>
    <font>
      <i/>
      <sz val="8"/>
      <color theme="1"/>
      <name val="Arial"/>
      <family val="2"/>
    </font>
    <font>
      <b/>
      <sz val="11"/>
      <color theme="1"/>
      <name val="Calibri"/>
      <family val="2"/>
      <scheme val="minor"/>
    </font>
    <font>
      <b/>
      <sz val="10"/>
      <color indexed="9"/>
      <name val="Arial"/>
      <family val="2"/>
    </font>
    <font>
      <sz val="8"/>
      <color theme="1"/>
      <name val="Calibri"/>
      <family val="2"/>
      <scheme val="minor"/>
    </font>
    <font>
      <b/>
      <sz val="11"/>
      <color rgb="FF002060"/>
      <name val="Calibri"/>
      <family val="2"/>
      <scheme val="minor"/>
    </font>
    <font>
      <sz val="11"/>
      <name val="Calibri"/>
      <family val="2"/>
      <scheme val="minor"/>
    </font>
    <font>
      <b/>
      <sz val="11"/>
      <name val="Calibri"/>
      <family val="2"/>
      <scheme val="minor"/>
    </font>
    <font>
      <sz val="11"/>
      <color theme="4"/>
      <name val="Calibri"/>
      <family val="2"/>
      <scheme val="minor"/>
    </font>
    <font>
      <i/>
      <sz val="8"/>
      <color theme="1"/>
      <name val="Calibri"/>
      <family val="2"/>
      <scheme val="minor"/>
    </font>
    <font>
      <i/>
      <sz val="9"/>
      <color theme="1"/>
      <name val="Calibri"/>
      <family val="2"/>
      <scheme val="minor"/>
    </font>
    <font>
      <b/>
      <sz val="9"/>
      <color theme="0"/>
      <name val="Arial"/>
      <family val="2"/>
    </font>
    <font>
      <u/>
      <sz val="11"/>
      <color theme="10"/>
      <name val="Calibri"/>
      <family val="2"/>
      <scheme val="minor"/>
    </font>
    <font>
      <b/>
      <sz val="16"/>
      <color theme="0"/>
      <name val="Calibri"/>
      <family val="2"/>
      <scheme val="minor"/>
    </font>
    <font>
      <b/>
      <sz val="9"/>
      <color theme="1"/>
      <name val="Arial"/>
      <family val="2"/>
    </font>
    <font>
      <b/>
      <sz val="11"/>
      <color indexed="9"/>
      <name val="Calibri"/>
      <family val="2"/>
    </font>
    <font>
      <sz val="10"/>
      <color theme="1"/>
      <name val="Calibri"/>
      <family val="2"/>
      <scheme val="minor"/>
    </font>
    <font>
      <sz val="9"/>
      <color theme="1"/>
      <name val="Calibri"/>
      <family val="2"/>
      <scheme val="minor"/>
    </font>
    <font>
      <b/>
      <sz val="9"/>
      <color theme="1"/>
      <name val="Calibri"/>
      <family val="2"/>
      <scheme val="minor"/>
    </font>
    <font>
      <sz val="10"/>
      <name val="Calibri"/>
      <family val="2"/>
      <scheme val="minor"/>
    </font>
    <font>
      <b/>
      <sz val="10"/>
      <name val="Calibri"/>
      <family val="2"/>
      <scheme val="minor"/>
    </font>
    <font>
      <sz val="10"/>
      <color theme="4"/>
      <name val="Calibri"/>
      <family val="2"/>
      <scheme val="minor"/>
    </font>
    <font>
      <sz val="11"/>
      <color rgb="FFC00000"/>
      <name val="Calibri"/>
      <family val="2"/>
      <scheme val="minor"/>
    </font>
    <font>
      <sz val="11"/>
      <color theme="9"/>
      <name val="Calibri"/>
      <family val="2"/>
    </font>
    <font>
      <sz val="11"/>
      <color rgb="FF002060"/>
      <name val="Calibri"/>
      <family val="2"/>
    </font>
    <font>
      <b/>
      <sz val="28"/>
      <color rgb="FF002060"/>
      <name val="Calibri"/>
      <family val="2"/>
      <scheme val="minor"/>
    </font>
    <font>
      <b/>
      <sz val="9"/>
      <color rgb="FF000000"/>
      <name val="Arial"/>
      <family val="2"/>
    </font>
    <font>
      <sz val="9"/>
      <color rgb="FF000000"/>
      <name val="Arial"/>
      <family val="2"/>
    </font>
    <font>
      <b/>
      <sz val="5"/>
      <color rgb="FF000000"/>
      <name val="Arial"/>
      <family val="2"/>
    </font>
    <font>
      <sz val="5"/>
      <color rgb="FF000000"/>
      <name val="Arial"/>
      <family val="2"/>
    </font>
    <font>
      <sz val="8"/>
      <color theme="1"/>
      <name val="Arial"/>
      <family val="2"/>
    </font>
    <font>
      <b/>
      <i/>
      <sz val="8"/>
      <color theme="0"/>
      <name val="Arial"/>
      <family val="2"/>
    </font>
    <font>
      <b/>
      <i/>
      <sz val="5"/>
      <color theme="0"/>
      <name val="Arial"/>
      <family val="2"/>
    </font>
  </fonts>
  <fills count="1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mediumGray">
        <bgColor theme="0"/>
      </patternFill>
    </fill>
    <fill>
      <patternFill patternType="solid">
        <fgColor rgb="FF4F81BD"/>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7" tint="0.59999389629810485"/>
        <bgColor indexed="64"/>
      </patternFill>
    </fill>
  </fills>
  <borders count="9">
    <border>
      <left/>
      <right/>
      <top/>
      <bottom/>
      <diagonal/>
    </border>
    <border>
      <left/>
      <right/>
      <top/>
      <bottom style="medium">
        <color rgb="FF002060"/>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hair">
        <color auto="1"/>
      </left>
      <right style="hair">
        <color auto="1"/>
      </right>
      <top style="hair">
        <color auto="1"/>
      </top>
      <bottom style="hair">
        <color auto="1"/>
      </bottom>
      <diagonal/>
    </border>
    <border>
      <left style="dotted">
        <color indexed="64"/>
      </left>
      <right style="dotted">
        <color indexed="64"/>
      </right>
      <top style="dotted">
        <color indexed="64"/>
      </top>
      <bottom style="dotted">
        <color indexed="64"/>
      </bottom>
      <diagonal/>
    </border>
    <border>
      <left/>
      <right style="thin">
        <color indexed="64"/>
      </right>
      <top style="thin">
        <color indexed="64"/>
      </top>
      <bottom style="thin">
        <color indexed="64"/>
      </bottom>
      <diagonal/>
    </border>
  </borders>
  <cellStyleXfs count="6">
    <xf numFmtId="0" fontId="0" fillId="0" borderId="0"/>
    <xf numFmtId="9" fontId="3" fillId="0" borderId="0" applyFont="0" applyFill="0" applyBorder="0" applyAlignment="0" applyProtection="0"/>
    <xf numFmtId="0" fontId="21" fillId="0" borderId="0" applyNumberFormat="0" applyFill="0" applyBorder="0" applyAlignment="0" applyProtection="0"/>
    <xf numFmtId="0" fontId="12" fillId="6" borderId="2">
      <alignment horizontal="right"/>
    </xf>
    <xf numFmtId="0" fontId="24" fillId="6" borderId="0"/>
    <xf numFmtId="44" fontId="3" fillId="0" borderId="0" applyFont="0" applyFill="0" applyBorder="0" applyAlignment="0" applyProtection="0"/>
  </cellStyleXfs>
  <cellXfs count="132">
    <xf numFmtId="0" fontId="0" fillId="0" borderId="0" xfId="0"/>
    <xf numFmtId="0" fontId="0" fillId="2" borderId="0" xfId="0" applyFill="1"/>
    <xf numFmtId="0" fontId="1" fillId="3" borderId="0" xfId="0" applyFont="1" applyFill="1"/>
    <xf numFmtId="0" fontId="2" fillId="2" borderId="0" xfId="0" applyFont="1" applyFill="1"/>
    <xf numFmtId="0" fontId="0" fillId="4" borderId="0" xfId="0" applyFill="1"/>
    <xf numFmtId="0" fontId="1" fillId="2" borderId="0" xfId="0" applyFont="1" applyFill="1"/>
    <xf numFmtId="0" fontId="5" fillId="2" borderId="0" xfId="0" applyFont="1" applyFill="1" applyAlignment="1">
      <alignment vertical="top"/>
    </xf>
    <xf numFmtId="0" fontId="6" fillId="2" borderId="0" xfId="0" applyFont="1" applyFill="1"/>
    <xf numFmtId="164" fontId="7" fillId="2" borderId="0" xfId="0" applyNumberFormat="1" applyFont="1" applyFill="1"/>
    <xf numFmtId="164" fontId="8" fillId="2" borderId="0" xfId="0" applyNumberFormat="1" applyFont="1" applyFill="1"/>
    <xf numFmtId="164" fontId="9" fillId="2" borderId="1" xfId="0" applyNumberFormat="1" applyFont="1" applyFill="1" applyBorder="1"/>
    <xf numFmtId="164" fontId="9" fillId="2" borderId="1" xfId="0" applyNumberFormat="1" applyFont="1" applyFill="1" applyBorder="1" applyAlignment="1">
      <alignment horizontal="right" wrapText="1"/>
    </xf>
    <xf numFmtId="164" fontId="9" fillId="2" borderId="0" xfId="0" applyNumberFormat="1" applyFont="1" applyFill="1" applyAlignment="1">
      <alignment horizontal="right" wrapText="1"/>
    </xf>
    <xf numFmtId="164" fontId="9" fillId="4" borderId="1" xfId="0" applyNumberFormat="1" applyFont="1" applyFill="1" applyBorder="1" applyAlignment="1">
      <alignment horizontal="right" wrapText="1"/>
    </xf>
    <xf numFmtId="165" fontId="8" fillId="2" borderId="0" xfId="0" applyNumberFormat="1" applyFont="1" applyFill="1"/>
    <xf numFmtId="165" fontId="8" fillId="4" borderId="0" xfId="0" applyNumberFormat="1" applyFont="1" applyFill="1"/>
    <xf numFmtId="166" fontId="8" fillId="2" borderId="0" xfId="1" applyNumberFormat="1" applyFont="1" applyFill="1"/>
    <xf numFmtId="9" fontId="8" fillId="4" borderId="0" xfId="1" applyFont="1" applyFill="1"/>
    <xf numFmtId="164" fontId="8" fillId="5" borderId="0" xfId="0" applyNumberFormat="1" applyFont="1" applyFill="1"/>
    <xf numFmtId="9" fontId="8" fillId="2" borderId="0" xfId="1" applyFont="1" applyFill="1"/>
    <xf numFmtId="164" fontId="10" fillId="2" borderId="0" xfId="0" applyNumberFormat="1" applyFont="1" applyFill="1"/>
    <xf numFmtId="164" fontId="10" fillId="4" borderId="0" xfId="0" applyNumberFormat="1" applyFont="1" applyFill="1"/>
    <xf numFmtId="164" fontId="8" fillId="4" borderId="0" xfId="0" applyNumberFormat="1" applyFont="1" applyFill="1"/>
    <xf numFmtId="166" fontId="10" fillId="2" borderId="0" xfId="1" applyNumberFormat="1" applyFont="1" applyFill="1"/>
    <xf numFmtId="166" fontId="10" fillId="4" borderId="0" xfId="1" applyNumberFormat="1" applyFont="1" applyFill="1"/>
    <xf numFmtId="0" fontId="13" fillId="2" borderId="0" xfId="0" applyFont="1" applyFill="1"/>
    <xf numFmtId="0" fontId="4" fillId="2" borderId="0" xfId="0" applyFont="1" applyFill="1" applyAlignment="1">
      <alignment vertical="top"/>
    </xf>
    <xf numFmtId="0" fontId="0" fillId="2" borderId="0" xfId="0" applyFill="1" applyAlignment="1">
      <alignment horizontal="center"/>
    </xf>
    <xf numFmtId="0" fontId="0" fillId="2" borderId="4" xfId="0" applyFill="1" applyBorder="1"/>
    <xf numFmtId="0" fontId="1" fillId="2" borderId="5" xfId="0" applyFont="1" applyFill="1" applyBorder="1"/>
    <xf numFmtId="0" fontId="0" fillId="2" borderId="5" xfId="0" applyFill="1" applyBorder="1"/>
    <xf numFmtId="0" fontId="14" fillId="2" borderId="5" xfId="0" applyFont="1" applyFill="1" applyBorder="1"/>
    <xf numFmtId="0" fontId="0" fillId="2" borderId="6" xfId="0" applyFill="1" applyBorder="1"/>
    <xf numFmtId="0" fontId="2" fillId="3" borderId="0" xfId="0" applyFont="1" applyFill="1" applyAlignment="1">
      <alignment horizontal="center"/>
    </xf>
    <xf numFmtId="14" fontId="0" fillId="2" borderId="6" xfId="0" applyNumberFormat="1" applyFill="1" applyBorder="1"/>
    <xf numFmtId="14" fontId="0" fillId="2" borderId="0" xfId="0" applyNumberFormat="1" applyFill="1"/>
    <xf numFmtId="37" fontId="15" fillId="2" borderId="0" xfId="0" applyNumberFormat="1" applyFont="1" applyFill="1"/>
    <xf numFmtId="37" fontId="15" fillId="2" borderId="4" xfId="0" applyNumberFormat="1" applyFont="1" applyFill="1" applyBorder="1"/>
    <xf numFmtId="0" fontId="11" fillId="2" borderId="0" xfId="0" applyFont="1" applyFill="1"/>
    <xf numFmtId="37" fontId="16" fillId="2" borderId="0" xfId="0" applyNumberFormat="1" applyFont="1" applyFill="1"/>
    <xf numFmtId="0" fontId="0" fillId="2" borderId="0" xfId="0" quotePrefix="1" applyFill="1"/>
    <xf numFmtId="37" fontId="17" fillId="2" borderId="0" xfId="0" applyNumberFormat="1" applyFont="1" applyFill="1"/>
    <xf numFmtId="0" fontId="0" fillId="2" borderId="4" xfId="0" quotePrefix="1" applyFill="1" applyBorder="1"/>
    <xf numFmtId="37" fontId="17" fillId="2" borderId="4" xfId="0" applyNumberFormat="1" applyFont="1" applyFill="1" applyBorder="1"/>
    <xf numFmtId="167" fontId="11" fillId="2" borderId="0" xfId="0" applyNumberFormat="1" applyFont="1" applyFill="1"/>
    <xf numFmtId="0" fontId="14" fillId="2" borderId="0" xfId="0" applyFont="1" applyFill="1"/>
    <xf numFmtId="0" fontId="18" fillId="2" borderId="0" xfId="0" applyFont="1" applyFill="1"/>
    <xf numFmtId="0" fontId="1" fillId="3" borderId="0" xfId="0" applyFont="1" applyFill="1" applyAlignment="1">
      <alignment horizontal="right"/>
    </xf>
    <xf numFmtId="0" fontId="0" fillId="2" borderId="0" xfId="0" applyFill="1" applyAlignment="1">
      <alignment horizontal="right"/>
    </xf>
    <xf numFmtId="0" fontId="19" fillId="2" borderId="0" xfId="0" applyFont="1" applyFill="1" applyAlignment="1">
      <alignment horizontal="right"/>
    </xf>
    <xf numFmtId="0" fontId="1" fillId="2" borderId="5" xfId="0" applyFont="1" applyFill="1" applyBorder="1" applyAlignment="1">
      <alignment horizontal="right"/>
    </xf>
    <xf numFmtId="0" fontId="19" fillId="4" borderId="0" xfId="0" applyFont="1" applyFill="1" applyAlignment="1">
      <alignment horizontal="right"/>
    </xf>
    <xf numFmtId="0" fontId="21" fillId="2" borderId="0" xfId="2" applyFill="1"/>
    <xf numFmtId="166" fontId="0" fillId="2" borderId="7" xfId="0" applyNumberFormat="1" applyFill="1" applyBorder="1" applyAlignment="1">
      <alignment horizontal="right"/>
    </xf>
    <xf numFmtId="0" fontId="0" fillId="2" borderId="7" xfId="0" applyFill="1" applyBorder="1" applyAlignment="1">
      <alignment horizontal="right"/>
    </xf>
    <xf numFmtId="0" fontId="11" fillId="2" borderId="3" xfId="0" applyFont="1" applyFill="1" applyBorder="1"/>
    <xf numFmtId="10" fontId="11" fillId="2" borderId="8" xfId="0" applyNumberFormat="1" applyFont="1" applyFill="1" applyBorder="1"/>
    <xf numFmtId="0" fontId="2" fillId="3" borderId="4" xfId="0" applyFont="1" applyFill="1" applyBorder="1"/>
    <xf numFmtId="0" fontId="22" fillId="3" borderId="4" xfId="0" applyFont="1" applyFill="1" applyBorder="1"/>
    <xf numFmtId="164" fontId="23" fillId="2" borderId="4" xfId="0" applyNumberFormat="1" applyFont="1" applyFill="1" applyBorder="1"/>
    <xf numFmtId="166" fontId="8" fillId="2" borderId="0" xfId="1" applyNumberFormat="1" applyFont="1" applyFill="1" applyAlignment="1">
      <alignment horizontal="right"/>
    </xf>
    <xf numFmtId="170" fontId="8" fillId="2" borderId="0" xfId="0" applyNumberFormat="1" applyFont="1" applyFill="1"/>
    <xf numFmtId="9" fontId="19" fillId="4" borderId="0" xfId="0" applyNumberFormat="1" applyFont="1" applyFill="1" applyAlignment="1">
      <alignment horizontal="right"/>
    </xf>
    <xf numFmtId="166" fontId="0" fillId="2" borderId="0" xfId="0" applyNumberFormat="1" applyFill="1"/>
    <xf numFmtId="166" fontId="19" fillId="2" borderId="0" xfId="1" applyNumberFormat="1" applyFont="1" applyFill="1" applyAlignment="1">
      <alignment horizontal="right"/>
    </xf>
    <xf numFmtId="9" fontId="19" fillId="2" borderId="0" xfId="0" applyNumberFormat="1" applyFont="1" applyFill="1" applyAlignment="1">
      <alignment horizontal="right"/>
    </xf>
    <xf numFmtId="169" fontId="25" fillId="4" borderId="0" xfId="0" applyNumberFormat="1" applyFont="1" applyFill="1" applyAlignment="1">
      <alignment horizontal="right"/>
    </xf>
    <xf numFmtId="169" fontId="27" fillId="4" borderId="5" xfId="0" applyNumberFormat="1" applyFont="1" applyFill="1" applyBorder="1" applyAlignment="1">
      <alignment horizontal="right"/>
    </xf>
    <xf numFmtId="169" fontId="25" fillId="2" borderId="0" xfId="0" applyNumberFormat="1" applyFont="1" applyFill="1" applyAlignment="1">
      <alignment horizontal="right"/>
    </xf>
    <xf numFmtId="2" fontId="25" fillId="2" borderId="0" xfId="0" applyNumberFormat="1" applyFont="1" applyFill="1" applyAlignment="1">
      <alignment horizontal="right"/>
    </xf>
    <xf numFmtId="2" fontId="19" fillId="4" borderId="0" xfId="0" applyNumberFormat="1" applyFont="1" applyFill="1" applyAlignment="1">
      <alignment horizontal="right"/>
    </xf>
    <xf numFmtId="169" fontId="19" fillId="4" borderId="0" xfId="0" applyNumberFormat="1" applyFont="1" applyFill="1" applyAlignment="1">
      <alignment horizontal="right"/>
    </xf>
    <xf numFmtId="169" fontId="27" fillId="2" borderId="5" xfId="0" applyNumberFormat="1" applyFont="1" applyFill="1" applyBorder="1" applyAlignment="1">
      <alignment horizontal="right"/>
    </xf>
    <xf numFmtId="171" fontId="25" fillId="2" borderId="0" xfId="0" applyNumberFormat="1" applyFont="1" applyFill="1" applyAlignment="1">
      <alignment horizontal="right"/>
    </xf>
    <xf numFmtId="0" fontId="25" fillId="2" borderId="0" xfId="0" applyFont="1" applyFill="1"/>
    <xf numFmtId="2" fontId="25" fillId="2" borderId="0" xfId="0" applyNumberFormat="1" applyFont="1" applyFill="1"/>
    <xf numFmtId="37" fontId="28" fillId="2" borderId="4" xfId="0" applyNumberFormat="1" applyFont="1" applyFill="1" applyBorder="1"/>
    <xf numFmtId="37" fontId="29" fillId="2" borderId="0" xfId="0" applyNumberFormat="1" applyFont="1" applyFill="1"/>
    <xf numFmtId="37" fontId="30" fillId="2" borderId="0" xfId="0" applyNumberFormat="1" applyFont="1" applyFill="1"/>
    <xf numFmtId="37" fontId="30" fillId="2" borderId="4" xfId="0" applyNumberFormat="1" applyFont="1" applyFill="1" applyBorder="1"/>
    <xf numFmtId="9" fontId="0" fillId="8" borderId="6" xfId="1" applyFont="1" applyFill="1" applyBorder="1"/>
    <xf numFmtId="0" fontId="34" fillId="2" borderId="0" xfId="0" applyFont="1" applyFill="1"/>
    <xf numFmtId="169" fontId="8" fillId="4" borderId="0" xfId="0" applyNumberFormat="1" applyFont="1" applyFill="1"/>
    <xf numFmtId="37" fontId="0" fillId="2" borderId="0" xfId="0" applyNumberFormat="1" applyFill="1"/>
    <xf numFmtId="164" fontId="23" fillId="2" borderId="0" xfId="0" applyNumberFormat="1" applyFont="1" applyFill="1"/>
    <xf numFmtId="0" fontId="20" fillId="3" borderId="0" xfId="0" applyFont="1" applyFill="1" applyAlignment="1">
      <alignment horizontal="center" vertical="center" wrapText="1"/>
    </xf>
    <xf numFmtId="0" fontId="35" fillId="2" borderId="0" xfId="0" applyFont="1" applyFill="1" applyAlignment="1">
      <alignment vertical="center" wrapText="1"/>
    </xf>
    <xf numFmtId="0" fontId="26" fillId="2" borderId="0" xfId="0" applyFont="1" applyFill="1"/>
    <xf numFmtId="0" fontId="36" fillId="2" borderId="0" xfId="0" applyFont="1" applyFill="1" applyAlignment="1">
      <alignment vertical="center" wrapText="1"/>
    </xf>
    <xf numFmtId="172" fontId="10" fillId="2" borderId="0" xfId="0" applyNumberFormat="1" applyFont="1" applyFill="1"/>
    <xf numFmtId="0" fontId="37" fillId="0" borderId="0" xfId="0" applyFont="1" applyAlignment="1">
      <alignment horizontal="center" vertical="center" wrapText="1"/>
    </xf>
    <xf numFmtId="0" fontId="38" fillId="2" borderId="0" xfId="0" applyFont="1" applyFill="1" applyAlignment="1">
      <alignment vertical="center" wrapText="1"/>
    </xf>
    <xf numFmtId="166" fontId="19" fillId="4" borderId="0" xfId="0" applyNumberFormat="1" applyFont="1" applyFill="1" applyAlignment="1">
      <alignment horizontal="right"/>
    </xf>
    <xf numFmtId="165" fontId="8" fillId="5" borderId="0" xfId="0" applyNumberFormat="1" applyFont="1" applyFill="1"/>
    <xf numFmtId="164" fontId="10" fillId="5" borderId="0" xfId="0" applyNumberFormat="1" applyFont="1" applyFill="1"/>
    <xf numFmtId="166" fontId="10" fillId="5" borderId="0" xfId="1" applyNumberFormat="1" applyFont="1" applyFill="1"/>
    <xf numFmtId="0" fontId="0" fillId="5" borderId="0" xfId="0" applyFill="1"/>
    <xf numFmtId="168" fontId="16" fillId="2" borderId="5" xfId="0" applyNumberFormat="1" applyFont="1" applyFill="1" applyBorder="1" applyAlignment="1">
      <alignment horizontal="right"/>
    </xf>
    <xf numFmtId="0" fontId="15" fillId="2" borderId="6" xfId="0" applyFont="1" applyFill="1" applyBorder="1"/>
    <xf numFmtId="2" fontId="15" fillId="2" borderId="6" xfId="0" applyNumberFormat="1" applyFont="1" applyFill="1" applyBorder="1"/>
    <xf numFmtId="173" fontId="11" fillId="2" borderId="6" xfId="1" applyNumberFormat="1" applyFont="1" applyFill="1" applyBorder="1"/>
    <xf numFmtId="9" fontId="0" fillId="2" borderId="0" xfId="1" applyFont="1" applyFill="1"/>
    <xf numFmtId="9" fontId="15" fillId="2" borderId="0" xfId="1" applyFont="1" applyFill="1"/>
    <xf numFmtId="166" fontId="8" fillId="4" borderId="0" xfId="1" applyNumberFormat="1" applyFont="1" applyFill="1"/>
    <xf numFmtId="10" fontId="19" fillId="4" borderId="0" xfId="0" applyNumberFormat="1" applyFont="1" applyFill="1" applyAlignment="1">
      <alignment horizontal="right"/>
    </xf>
    <xf numFmtId="9" fontId="0" fillId="2" borderId="7" xfId="1" applyFont="1" applyFill="1" applyBorder="1" applyAlignment="1">
      <alignment horizontal="right"/>
    </xf>
    <xf numFmtId="0" fontId="37" fillId="2" borderId="0" xfId="0" applyFont="1" applyFill="1" applyAlignment="1">
      <alignment horizontal="center" vertical="center" wrapText="1"/>
    </xf>
    <xf numFmtId="0" fontId="37" fillId="2" borderId="0" xfId="0" applyFont="1" applyFill="1" applyAlignment="1">
      <alignment vertical="center" wrapText="1"/>
    </xf>
    <xf numFmtId="0" fontId="0" fillId="2" borderId="7" xfId="1" applyNumberFormat="1" applyFont="1" applyFill="1" applyBorder="1" applyAlignment="1">
      <alignment horizontal="right"/>
    </xf>
    <xf numFmtId="0" fontId="0" fillId="2" borderId="0" xfId="0" applyFill="1" applyAlignment="1">
      <alignment horizontal="left"/>
    </xf>
    <xf numFmtId="9" fontId="0" fillId="2" borderId="0" xfId="0" applyNumberFormat="1" applyFill="1" applyAlignment="1">
      <alignment horizontal="left"/>
    </xf>
    <xf numFmtId="166" fontId="0" fillId="9" borderId="7" xfId="0" applyNumberFormat="1" applyFill="1" applyBorder="1" applyAlignment="1">
      <alignment horizontal="right"/>
    </xf>
    <xf numFmtId="0" fontId="0" fillId="9" borderId="7" xfId="0" applyFill="1" applyBorder="1" applyAlignment="1">
      <alignment horizontal="right"/>
    </xf>
    <xf numFmtId="165" fontId="23" fillId="2" borderId="0" xfId="0" applyNumberFormat="1" applyFont="1" applyFill="1"/>
    <xf numFmtId="166" fontId="0" fillId="7" borderId="6" xfId="1" applyNumberFormat="1" applyFont="1" applyFill="1" applyBorder="1"/>
    <xf numFmtId="10" fontId="10" fillId="2" borderId="0" xfId="1" applyNumberFormat="1" applyFont="1" applyFill="1"/>
    <xf numFmtId="9" fontId="10" fillId="2" borderId="0" xfId="1" applyFont="1" applyFill="1"/>
    <xf numFmtId="9" fontId="39" fillId="2" borderId="0" xfId="1" applyFont="1" applyFill="1"/>
    <xf numFmtId="164" fontId="20" fillId="3" borderId="5" xfId="0" applyNumberFormat="1" applyFont="1" applyFill="1" applyBorder="1"/>
    <xf numFmtId="164" fontId="40" fillId="3" borderId="5" xfId="0" applyNumberFormat="1" applyFont="1" applyFill="1" applyBorder="1"/>
    <xf numFmtId="0" fontId="41" fillId="3" borderId="0" xfId="0" applyFont="1" applyFill="1" applyAlignment="1">
      <alignment vertical="center" wrapText="1"/>
    </xf>
    <xf numFmtId="166" fontId="39" fillId="4" borderId="0" xfId="1" applyNumberFormat="1" applyFont="1" applyFill="1"/>
    <xf numFmtId="166" fontId="0" fillId="2" borderId="0" xfId="0" applyNumberFormat="1" applyFill="1" applyAlignment="1">
      <alignment horizontal="left"/>
    </xf>
    <xf numFmtId="166" fontId="19" fillId="4" borderId="0" xfId="1" applyNumberFormat="1" applyFont="1" applyFill="1" applyAlignment="1">
      <alignment horizontal="right"/>
    </xf>
    <xf numFmtId="166" fontId="27" fillId="4" borderId="5" xfId="1" applyNumberFormat="1" applyFont="1" applyFill="1" applyBorder="1" applyAlignment="1">
      <alignment horizontal="right"/>
    </xf>
    <xf numFmtId="3" fontId="36" fillId="2" borderId="0" xfId="0" applyNumberFormat="1" applyFont="1" applyFill="1" applyAlignment="1">
      <alignment vertical="center" wrapText="1"/>
    </xf>
    <xf numFmtId="166" fontId="0" fillId="2" borderId="7" xfId="1" applyNumberFormat="1" applyFont="1" applyFill="1" applyBorder="1" applyAlignment="1">
      <alignment horizontal="right"/>
    </xf>
    <xf numFmtId="10" fontId="0" fillId="2" borderId="0" xfId="0" applyNumberFormat="1" applyFill="1" applyAlignment="1">
      <alignment horizontal="left"/>
    </xf>
    <xf numFmtId="170" fontId="8" fillId="2" borderId="0" xfId="5" applyNumberFormat="1" applyFont="1" applyFill="1"/>
    <xf numFmtId="169" fontId="8" fillId="2" borderId="0" xfId="0" applyNumberFormat="1" applyFont="1" applyFill="1"/>
    <xf numFmtId="174" fontId="36" fillId="2" borderId="0" xfId="0" applyNumberFormat="1" applyFont="1" applyFill="1" applyAlignment="1">
      <alignment vertical="center" wrapText="1"/>
    </xf>
    <xf numFmtId="175" fontId="30" fillId="2" borderId="4" xfId="0" applyNumberFormat="1" applyFont="1" applyFill="1" applyBorder="1"/>
  </cellXfs>
  <cellStyles count="6">
    <cellStyle name="blp_column_header" xfId="4" xr:uid="{B69F718B-9992-4EA7-9E31-91C38FB02FFB}"/>
    <cellStyle name="Currency" xfId="5" builtinId="4"/>
    <cellStyle name="fa_column_header_bottom" xfId="3" xr:uid="{FF30F10C-F345-4FD4-A669-CA3342FC0C2D}"/>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aredStrings" Target="sharedString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s>
</file>

<file path=xl/drawings/drawing1.xml><?xml version="1.0" encoding="utf-8"?>
<xdr:wsDr xmlns:xdr="http://schemas.openxmlformats.org/drawingml/2006/spreadsheetDrawing" xmlns:a="http://schemas.openxmlformats.org/drawingml/2006/main">
  <xdr:twoCellAnchor>
    <xdr:from>
      <xdr:col>1</xdr:col>
      <xdr:colOff>9528</xdr:colOff>
      <xdr:row>20</xdr:row>
      <xdr:rowOff>130463</xdr:rowOff>
    </xdr:from>
    <xdr:to>
      <xdr:col>1</xdr:col>
      <xdr:colOff>249959</xdr:colOff>
      <xdr:row>29</xdr:row>
      <xdr:rowOff>176389</xdr:rowOff>
    </xdr:to>
    <xdr:sp macro="" textlink="">
      <xdr:nvSpPr>
        <xdr:cNvPr id="2" name="TextBox 1">
          <a:extLst>
            <a:ext uri="{FF2B5EF4-FFF2-40B4-BE49-F238E27FC236}">
              <a16:creationId xmlns:a16="http://schemas.microsoft.com/office/drawing/2014/main" id="{FCD4A6C3-A580-73C1-64F6-12AB4D93CF8C}"/>
            </a:ext>
          </a:extLst>
        </xdr:cNvPr>
        <xdr:cNvSpPr txBox="1"/>
      </xdr:nvSpPr>
      <xdr:spPr>
        <a:xfrm rot="16200000">
          <a:off x="-276865" y="3627134"/>
          <a:ext cx="1430579" cy="240431"/>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sv-SE" sz="900" b="1">
              <a:solidFill>
                <a:schemeClr val="bg1"/>
              </a:solidFill>
              <a:latin typeface="+mn-lt"/>
              <a:ea typeface="+mn-ea"/>
              <a:cs typeface="+mn-cs"/>
            </a:rPr>
            <a:t>Cash Flow Statement items</a:t>
          </a:r>
        </a:p>
      </xdr:txBody>
    </xdr:sp>
    <xdr:clientData/>
  </xdr:twoCellAnchor>
  <xdr:twoCellAnchor>
    <xdr:from>
      <xdr:col>0</xdr:col>
      <xdr:colOff>596903</xdr:colOff>
      <xdr:row>10</xdr:row>
      <xdr:rowOff>139703</xdr:rowOff>
    </xdr:from>
    <xdr:to>
      <xdr:col>1</xdr:col>
      <xdr:colOff>247650</xdr:colOff>
      <xdr:row>20</xdr:row>
      <xdr:rowOff>76198</xdr:rowOff>
    </xdr:to>
    <xdr:sp macro="" textlink="">
      <xdr:nvSpPr>
        <xdr:cNvPr id="3" name="TextBox 2">
          <a:extLst>
            <a:ext uri="{FF2B5EF4-FFF2-40B4-BE49-F238E27FC236}">
              <a16:creationId xmlns:a16="http://schemas.microsoft.com/office/drawing/2014/main" id="{85F0141E-0D6A-4F1B-A753-609BAC12463F}"/>
            </a:ext>
          </a:extLst>
        </xdr:cNvPr>
        <xdr:cNvSpPr txBox="1"/>
      </xdr:nvSpPr>
      <xdr:spPr>
        <a:xfrm rot="16200000">
          <a:off x="47629" y="2352677"/>
          <a:ext cx="1358895" cy="260347"/>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900" b="1">
              <a:solidFill>
                <a:schemeClr val="bg1"/>
              </a:solidFill>
            </a:rPr>
            <a:t>Income Statement Items</a:t>
          </a:r>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https://www.bing.com/financeapi/forcetrigger?t=axyhnm&amp;q=XNAS%3aPEP&amp;form=skydnc</v>
    <v>Learn more on Bing</v>
  </rv>
  <rv s="1">
    <v>en-US</v>
    <v>axyhnm</v>
    <v>268435456</v>
    <v>1</v>
    <v>Powered by Refinitiv</v>
    <v>0</v>
    <v>Pepsico, Inc. (XNAS:PEP)</v>
    <v>2</v>
    <v>3</v>
    <v>Finance</v>
    <v>4</v>
    <v>171.48</v>
    <v>127.6</v>
    <v>0.39079999999999998</v>
    <v>-5.21</v>
    <v>1.606E-3</v>
    <v>-3.3696000000000004E-2</v>
    <v>0.24</v>
    <v>USD</v>
    <v>PepsiCo, Inc. is a global beverage and convenient food company. The Company’s segments include PepsiCo Foods North America (PFNA), PepsiCo Beverages North America (PBNA), International Beverages Franchise (IB Franchise), Europe, Middle East and Africa (EMEA), Latin America Foods (LatAm Foods), and Asia Pacific Foods. PFNA segment includes all of its convenient food businesses in the United States and Canada. PBNA segment includes all of its beverage businesses in the United States and Canada. IB Franchise segment includes its international franchise beverage businesses, as well as its SodaStream business. EMEA segment includes its convenient food businesses and beverage businesses with Company-owned bottlers in Europe, the Middle East and Africa. LatAm Foods segment includes all of its convenient food businesses in Latin America. Asia Pacific Foods segment consists of its convenient food businesses in Asia Pacific, including China, Australia and New Zealand, as well as India.</v>
    <v>306000</v>
    <v>Nasdaq Stock Market</v>
    <v>XNAS</v>
    <v>XNAS</v>
    <v>700 ANDERSON HILL RD, PURCHASE, NY, 10577 US</v>
    <v>154.69999999999999</v>
    <v>Beverages</v>
    <v>Stock</v>
    <v>46153.999619779686</v>
    <v>0</v>
    <v>149.06</v>
    <v>204208806880</v>
    <v>Pepsico, Inc.</v>
    <v>Pepsico, Inc.</v>
    <v>154.38999999999999</v>
    <v>24.288799999999998</v>
    <v>154.62</v>
    <v>149.41</v>
    <v>149.65</v>
    <v>1366768000</v>
    <v>PEP</v>
    <v>Pepsico, Inc. (XNAS:PEP)</v>
    <v>8373262</v>
    <v>5689077</v>
    <v>1986</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ec.gov/ix?doc=/Archives/edgar/data/27419/000002741923000015/tgt-20230128.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256B3-20E2-4D4E-9173-1AD30476848C}">
  <dimension ref="A1:V69"/>
  <sheetViews>
    <sheetView zoomScaleNormal="100" workbookViewId="0">
      <selection activeCell="O32" sqref="O32"/>
    </sheetView>
  </sheetViews>
  <sheetFormatPr defaultColWidth="8.42578125" defaultRowHeight="15"/>
  <cols>
    <col min="1" max="1" width="4.42578125" style="1" customWidth="1"/>
    <col min="2" max="2" width="4.7109375" style="1" customWidth="1"/>
    <col min="3" max="3" width="8.42578125" style="1"/>
    <col min="4" max="4" width="12" style="1" bestFit="1" customWidth="1"/>
    <col min="5" max="6" width="12.42578125" style="1" customWidth="1"/>
    <col min="7" max="7" width="13.42578125" style="1" customWidth="1"/>
    <col min="8" max="8" width="12.42578125" style="1" customWidth="1"/>
    <col min="9" max="9" width="3.42578125" style="1" customWidth="1"/>
    <col min="10" max="14" width="12.42578125" style="1" customWidth="1"/>
    <col min="15" max="15" width="11.140625" style="1" customWidth="1"/>
    <col min="16" max="16" width="18.42578125" style="1" bestFit="1" customWidth="1"/>
    <col min="17" max="17" width="8.42578125" style="1" customWidth="1"/>
    <col min="18" max="16384" width="8.42578125" style="1"/>
  </cols>
  <sheetData>
    <row r="1" spans="1:22" ht="15.95">
      <c r="A1" s="45"/>
      <c r="P1" s="26"/>
    </row>
    <row r="2" spans="1:22" ht="12.95" customHeight="1">
      <c r="P2" s="6"/>
      <c r="R2" s="5"/>
    </row>
    <row r="3" spans="1:22" ht="14.45" customHeight="1">
      <c r="C3" s="1" t="s">
        <v>0</v>
      </c>
      <c r="D3" s="1" t="e" vm="1">
        <v>#VALUE!</v>
      </c>
    </row>
    <row r="4" spans="1:22">
      <c r="C4" s="1" t="s">
        <v>1</v>
      </c>
      <c r="D4" s="32" t="str" cm="1">
        <f t="array" aca="1" ref="D4" ca="1">_FV(D3,"Ticker symbol",TRUE)</f>
        <v>PEP</v>
      </c>
      <c r="F4" s="1" t="s">
        <v>2</v>
      </c>
      <c r="H4" s="98">
        <v>142.62</v>
      </c>
      <c r="J4" s="1" t="s">
        <v>3</v>
      </c>
      <c r="K4" s="114">
        <v>6.5618937524103346E-2</v>
      </c>
      <c r="M4" s="1" t="s">
        <v>4</v>
      </c>
      <c r="N4" s="33">
        <v>2</v>
      </c>
    </row>
    <row r="5" spans="1:22">
      <c r="C5" s="1" t="s">
        <v>5</v>
      </c>
      <c r="D5" s="34">
        <f ca="1">TODAY()</f>
        <v>46153</v>
      </c>
      <c r="F5" s="1" t="s">
        <v>6</v>
      </c>
      <c r="H5" s="99">
        <f>N45</f>
        <v>165.77641660247724</v>
      </c>
      <c r="J5" s="1" t="s">
        <v>7</v>
      </c>
      <c r="K5" s="80">
        <v>0.03</v>
      </c>
      <c r="M5" s="1" t="s">
        <v>8</v>
      </c>
    </row>
    <row r="6" spans="1:22">
      <c r="F6" s="1" t="s">
        <v>9</v>
      </c>
      <c r="H6" s="100">
        <f>H5/H4-1</f>
        <v>0.1623644411897156</v>
      </c>
      <c r="M6" s="1" t="s">
        <v>10</v>
      </c>
    </row>
    <row r="7" spans="1:22">
      <c r="B7" s="27"/>
      <c r="C7" s="5"/>
      <c r="M7" s="1" t="s">
        <v>11</v>
      </c>
    </row>
    <row r="8" spans="1:22">
      <c r="B8" s="27"/>
      <c r="C8" s="5"/>
    </row>
    <row r="9" spans="1:22">
      <c r="B9" s="27"/>
      <c r="C9" s="5"/>
    </row>
    <row r="10" spans="1:22">
      <c r="B10" s="27"/>
      <c r="C10" s="45" t="s">
        <v>12</v>
      </c>
      <c r="J10" s="1">
        <v>1</v>
      </c>
      <c r="K10" s="1">
        <f>J10+1</f>
        <v>2</v>
      </c>
      <c r="L10" s="1">
        <f t="shared" ref="L10:N10" si="0">K10+1</f>
        <v>3</v>
      </c>
      <c r="M10" s="1">
        <f t="shared" si="0"/>
        <v>4</v>
      </c>
      <c r="N10" s="1">
        <f t="shared" si="0"/>
        <v>5</v>
      </c>
    </row>
    <row r="11" spans="1:22">
      <c r="B11" s="27"/>
      <c r="C11" s="2" t="s">
        <v>13</v>
      </c>
      <c r="D11" s="2"/>
      <c r="E11" s="47">
        <v>2021</v>
      </c>
      <c r="F11" s="47">
        <f>E11+1</f>
        <v>2022</v>
      </c>
      <c r="G11" s="47">
        <f>F11+1</f>
        <v>2023</v>
      </c>
      <c r="H11" s="47">
        <f>G11+1</f>
        <v>2024</v>
      </c>
      <c r="I11" s="47"/>
      <c r="J11" s="47">
        <f>H11+1</f>
        <v>2025</v>
      </c>
      <c r="K11" s="47">
        <f>J11+1</f>
        <v>2026</v>
      </c>
      <c r="L11" s="47">
        <f>K11+1</f>
        <v>2027</v>
      </c>
      <c r="M11" s="47">
        <f>L11+1</f>
        <v>2028</v>
      </c>
      <c r="N11" s="47">
        <f>M11+1</f>
        <v>2029</v>
      </c>
      <c r="S11" s="3"/>
      <c r="T11" s="3"/>
      <c r="U11" s="3"/>
      <c r="V11" s="3"/>
    </row>
    <row r="12" spans="1:22">
      <c r="B12" s="27"/>
      <c r="C12" s="1" t="s">
        <v>14</v>
      </c>
      <c r="E12" s="68">
        <f>'P&amp;L Assumptions'!C5</f>
        <v>79474</v>
      </c>
      <c r="F12" s="68">
        <f>'P&amp;L Assumptions'!D5</f>
        <v>86392</v>
      </c>
      <c r="G12" s="68">
        <f>'P&amp;L Assumptions'!E5</f>
        <v>91471</v>
      </c>
      <c r="H12" s="68">
        <f>'P&amp;L Assumptions'!F5</f>
        <v>91854</v>
      </c>
      <c r="I12" s="68"/>
      <c r="J12" s="66">
        <f>'P&amp;L Assumptions'!H5</f>
        <v>94150.349999999991</v>
      </c>
      <c r="K12" s="66">
        <f>'P&amp;L Assumptions'!I5</f>
        <v>96504.108749999985</v>
      </c>
      <c r="L12" s="66">
        <f>'P&amp;L Assumptions'!J5</f>
        <v>98916.711468749971</v>
      </c>
      <c r="M12" s="66">
        <f>'P&amp;L Assumptions'!K5</f>
        <v>101389.62925546871</v>
      </c>
      <c r="N12" s="66">
        <f>'P&amp;L Assumptions'!L5</f>
        <v>103924.36998685542</v>
      </c>
      <c r="P12" s="6"/>
    </row>
    <row r="13" spans="1:22">
      <c r="B13" s="27"/>
      <c r="C13" s="46" t="s">
        <v>15</v>
      </c>
      <c r="E13" s="64">
        <f>'P&amp;L Assumptions'!C6</f>
        <v>0.12934121525606782</v>
      </c>
      <c r="F13" s="64">
        <f>'P&amp;L Assumptions'!D6</f>
        <v>8.704733623574995E-2</v>
      </c>
      <c r="G13" s="64">
        <f>'P&amp;L Assumptions'!E6</f>
        <v>5.8790165756088621E-2</v>
      </c>
      <c r="H13" s="64">
        <f>'P&amp;L Assumptions'!F6</f>
        <v>4.1871194148964761E-3</v>
      </c>
      <c r="I13" s="64"/>
      <c r="J13" s="62">
        <f>'P&amp;L Assumptions'!H6</f>
        <v>2.5000000000000001E-2</v>
      </c>
      <c r="K13" s="62">
        <f>'P&amp;L Assumptions'!I6</f>
        <v>2.5000000000000001E-2</v>
      </c>
      <c r="L13" s="62">
        <f>'P&amp;L Assumptions'!J6</f>
        <v>2.5000000000000001E-2</v>
      </c>
      <c r="M13" s="62">
        <f>'P&amp;L Assumptions'!K6</f>
        <v>2.5000000000000001E-2</v>
      </c>
      <c r="N13" s="62">
        <f>'P&amp;L Assumptions'!L6</f>
        <v>2.5000000000000001E-2</v>
      </c>
      <c r="P13" s="6"/>
    </row>
    <row r="14" spans="1:22" ht="3.75" customHeight="1">
      <c r="B14" s="27"/>
      <c r="E14" s="48"/>
      <c r="F14" s="48"/>
      <c r="G14" s="48"/>
      <c r="H14" s="48"/>
      <c r="I14" s="48"/>
      <c r="J14" s="51"/>
      <c r="K14" s="51"/>
      <c r="L14" s="51"/>
      <c r="M14" s="51"/>
      <c r="N14" s="51"/>
      <c r="R14" s="5"/>
    </row>
    <row r="15" spans="1:22">
      <c r="B15" s="27"/>
      <c r="C15" s="1" t="s">
        <v>16</v>
      </c>
      <c r="E15" s="68">
        <f>DATA!D44</f>
        <v>221.5</v>
      </c>
      <c r="F15" s="68">
        <f>DATA!E44</f>
        <v>391.7</v>
      </c>
      <c r="G15" s="68">
        <f>DATA!F44</f>
        <v>338.9</v>
      </c>
      <c r="H15" s="68">
        <f>DATA!G44</f>
        <v>366.5</v>
      </c>
      <c r="I15" s="68"/>
      <c r="J15" s="66">
        <f>'P&amp;L Assumptions'!H5+'P&amp;L Assumptions'!H11-'P&amp;L Assumptions'!H17-'P&amp;L Assumptions'!H23-'P&amp;L Assumptions'!H29</f>
        <v>7322.8119999999999</v>
      </c>
      <c r="K15" s="66">
        <f>'P&amp;L Assumptions'!I5+'P&amp;L Assumptions'!I11-'P&amp;L Assumptions'!I17-'P&amp;L Assumptions'!I23-'P&amp;L Assumptions'!I29</f>
        <v>7434.3281599999964</v>
      </c>
      <c r="L15" s="66">
        <f>'P&amp;L Assumptions'!J5+'P&amp;L Assumptions'!J11-'P&amp;L Assumptions'!J17-'P&amp;L Assumptions'!J23-'P&amp;L Assumptions'!J29</f>
        <v>7545.5553959799945</v>
      </c>
      <c r="M15" s="66">
        <f>'P&amp;L Assumptions'!K5+'P&amp;L Assumptions'!K11-'P&amp;L Assumptions'!K17-'P&amp;L Assumptions'!K23-'P&amp;L Assumptions'!K29</f>
        <v>7652.0297312543616</v>
      </c>
      <c r="N15" s="66">
        <f>'P&amp;L Assumptions'!L5+'P&amp;L Assumptions'!L11-'P&amp;L Assumptions'!L17-'P&amp;L Assumptions'!L23-'P&amp;L Assumptions'!L29</f>
        <v>7757.5506847270844</v>
      </c>
    </row>
    <row r="16" spans="1:22">
      <c r="B16" s="27"/>
      <c r="C16" s="46" t="s">
        <v>17</v>
      </c>
      <c r="E16" s="64">
        <f>E15/(DATA!D4*1000)</f>
        <v>2.7870750182449606E-3</v>
      </c>
      <c r="F16" s="64">
        <f>F15/(DATA!E4*1000)</f>
        <v>4.5339846282063155E-3</v>
      </c>
      <c r="G16" s="64">
        <f>G15/(DATA!F4*1000)</f>
        <v>3.7049993987165329E-3</v>
      </c>
      <c r="H16" s="64">
        <f>H15/(DATA!G4*1000)</f>
        <v>3.9900276525790925E-3</v>
      </c>
      <c r="I16" s="64"/>
      <c r="J16" s="92">
        <v>4.0000000000000001E-3</v>
      </c>
      <c r="K16" s="92">
        <v>4.0000000000000001E-3</v>
      </c>
      <c r="L16" s="92">
        <v>4.0000000000000001E-3</v>
      </c>
      <c r="M16" s="92">
        <v>4.0000000000000001E-3</v>
      </c>
      <c r="N16" s="92">
        <v>4.0000000000000001E-3</v>
      </c>
    </row>
    <row r="17" spans="2:22" ht="3.75" customHeight="1">
      <c r="B17" s="27"/>
      <c r="E17" s="48"/>
      <c r="F17" s="48"/>
      <c r="G17" s="48"/>
      <c r="H17" s="48"/>
      <c r="I17" s="48"/>
      <c r="J17" s="104"/>
      <c r="K17" s="104"/>
      <c r="L17" s="104"/>
      <c r="M17" s="104"/>
      <c r="N17" s="104"/>
    </row>
    <row r="18" spans="2:22">
      <c r="B18" s="27"/>
      <c r="C18" s="1" t="s">
        <v>18</v>
      </c>
      <c r="E18" s="68">
        <f>DATA!D8*1000</f>
        <v>2142</v>
      </c>
      <c r="F18" s="68">
        <f>DATA!E8*1000</f>
        <v>1727</v>
      </c>
      <c r="G18" s="68">
        <f>DATA!F8*1000</f>
        <v>2262</v>
      </c>
      <c r="H18" s="68">
        <f>DATA!G8*1000</f>
        <v>2320</v>
      </c>
      <c r="I18" s="69"/>
      <c r="J18" s="66">
        <f>'P&amp;L Assumptions'!H49</f>
        <v>2335.8819710829152</v>
      </c>
      <c r="K18" s="66">
        <f>'P&amp;L Assumptions'!I49</f>
        <v>2359.2407907937445</v>
      </c>
      <c r="L18" s="66">
        <f>'P&amp;L Assumptions'!J49</f>
        <v>2382.8331987016818</v>
      </c>
      <c r="M18" s="66">
        <f>'P&amp;L Assumptions'!K49</f>
        <v>2406.6615306886988</v>
      </c>
      <c r="N18" s="66">
        <f>'P&amp;L Assumptions'!L49</f>
        <v>2430.7281459955857</v>
      </c>
    </row>
    <row r="19" spans="2:22">
      <c r="B19" s="27"/>
      <c r="C19" s="46" t="s">
        <v>19</v>
      </c>
      <c r="E19" s="65">
        <f>'P&amp;L Assumptions'!C50</f>
        <v>9.1343283582089544E-3</v>
      </c>
      <c r="F19" s="65">
        <f>'P&amp;L Assumptions'!D50</f>
        <v>7.7968397291196386E-3</v>
      </c>
      <c r="G19" s="65">
        <f>'P&amp;L Assumptions'!E50</f>
        <v>5.7748276742404904E-3</v>
      </c>
      <c r="H19" s="65">
        <f>'P&amp;L Assumptions'!F50</f>
        <v>6.845677190911773E-3</v>
      </c>
      <c r="I19" s="65"/>
      <c r="J19" s="62">
        <f>'P&amp;L Assumptions'!H50</f>
        <v>0.01</v>
      </c>
      <c r="K19" s="62">
        <f>'P&amp;L Assumptions'!I50</f>
        <v>0.01</v>
      </c>
      <c r="L19" s="62">
        <f>'P&amp;L Assumptions'!J50</f>
        <v>0.01</v>
      </c>
      <c r="M19" s="62">
        <f>'P&amp;L Assumptions'!K50</f>
        <v>0.01</v>
      </c>
      <c r="N19" s="62">
        <f>'P&amp;L Assumptions'!L50</f>
        <v>0.01</v>
      </c>
    </row>
    <row r="20" spans="2:22" ht="3.75" customHeight="1">
      <c r="B20" s="27"/>
      <c r="E20" s="48"/>
      <c r="F20" s="48"/>
      <c r="G20" s="48"/>
      <c r="H20" s="48"/>
      <c r="I20" s="48"/>
      <c r="J20" s="51"/>
      <c r="K20" s="51"/>
      <c r="L20" s="51"/>
      <c r="M20" s="51"/>
      <c r="N20" s="51"/>
    </row>
    <row r="21" spans="2:22">
      <c r="B21" s="27"/>
      <c r="C21" s="31" t="s">
        <v>20</v>
      </c>
      <c r="D21" s="30"/>
      <c r="E21" s="97"/>
      <c r="F21" s="97"/>
      <c r="G21" s="97"/>
      <c r="H21" s="97"/>
      <c r="I21" s="50"/>
      <c r="J21" s="67">
        <f>J15-J18</f>
        <v>4986.9300289170842</v>
      </c>
      <c r="K21" s="67">
        <f t="shared" ref="K21:N21" si="1">K15-K18</f>
        <v>5075.0873692062523</v>
      </c>
      <c r="L21" s="67">
        <f t="shared" si="1"/>
        <v>5162.7221972783127</v>
      </c>
      <c r="M21" s="67">
        <f t="shared" si="1"/>
        <v>5245.3682005656628</v>
      </c>
      <c r="N21" s="67">
        <f t="shared" si="1"/>
        <v>5326.8225387314988</v>
      </c>
      <c r="S21" s="3"/>
      <c r="T21" s="3"/>
      <c r="U21" s="3"/>
      <c r="V21" s="3"/>
    </row>
    <row r="22" spans="2:22">
      <c r="B22" s="27"/>
      <c r="C22" s="1" t="s">
        <v>21</v>
      </c>
      <c r="E22" s="68">
        <f>DATA!D9*1000</f>
        <v>3215</v>
      </c>
      <c r="F22" s="68">
        <f>DATA!E9*1000</f>
        <v>3279.9999999999995</v>
      </c>
      <c r="G22" s="68">
        <f>DATA!F9*1000</f>
        <v>3517.9999999999991</v>
      </c>
      <c r="H22" s="68">
        <f>DATA!G9*1000</f>
        <v>3815.0000000000014</v>
      </c>
      <c r="I22" s="69"/>
      <c r="J22" s="66">
        <f>'P&amp;L Assumptions'!H29</f>
        <v>3975.2300000000014</v>
      </c>
      <c r="K22" s="66">
        <f>'P&amp;L Assumptions'!I29</f>
        <v>4146.1648900000009</v>
      </c>
      <c r="L22" s="66">
        <f>'P&amp;L Assumptions'!J29</f>
        <v>4324.4499802700011</v>
      </c>
      <c r="M22" s="66">
        <f>'P&amp;L Assumptions'!K29</f>
        <v>4514.7257794018815</v>
      </c>
      <c r="N22" s="66">
        <f>'P&amp;L Assumptions'!L29</f>
        <v>4713.3737136955642</v>
      </c>
    </row>
    <row r="23" spans="2:22">
      <c r="B23" s="27"/>
      <c r="C23" s="46" t="s">
        <v>17</v>
      </c>
      <c r="E23" s="64">
        <f>'P&amp;L Assumptions'!C30</f>
        <v>4.0453481641794804E-2</v>
      </c>
      <c r="F23" s="64">
        <f t="shared" ref="F23:H23" si="2">E23</f>
        <v>4.0453481641794804E-2</v>
      </c>
      <c r="G23" s="64">
        <f t="shared" si="2"/>
        <v>4.0453481641794804E-2</v>
      </c>
      <c r="H23" s="64">
        <f t="shared" si="2"/>
        <v>4.0453481641794804E-2</v>
      </c>
      <c r="I23" s="64"/>
      <c r="J23" s="62">
        <f>'P&amp;L Assumptions'!H30</f>
        <v>4.2000000000000003E-2</v>
      </c>
      <c r="K23" s="62">
        <f>'P&amp;L Assumptions'!I30</f>
        <v>4.2999999999999997E-2</v>
      </c>
      <c r="L23" s="62">
        <f>'P&amp;L Assumptions'!J30</f>
        <v>4.2999999999999997E-2</v>
      </c>
      <c r="M23" s="62">
        <f>'P&amp;L Assumptions'!K30</f>
        <v>4.3999999999999997E-2</v>
      </c>
      <c r="N23" s="62">
        <f>'P&amp;L Assumptions'!L30</f>
        <v>4.3999999999999997E-2</v>
      </c>
    </row>
    <row r="24" spans="2:22" ht="3.75" customHeight="1">
      <c r="B24" s="27"/>
      <c r="E24" s="48"/>
      <c r="F24" s="48"/>
      <c r="G24" s="48"/>
      <c r="H24" s="48"/>
      <c r="I24" s="48"/>
      <c r="J24" s="51"/>
      <c r="K24" s="51"/>
      <c r="L24" s="51"/>
      <c r="M24" s="51"/>
      <c r="N24" s="51"/>
    </row>
    <row r="25" spans="2:22">
      <c r="B25" s="27"/>
      <c r="C25" s="1" t="s">
        <v>22</v>
      </c>
      <c r="E25" s="68">
        <f>-DATA!D36*1000</f>
        <v>3269</v>
      </c>
      <c r="F25" s="68">
        <f>-DATA!E36*1000</f>
        <v>2430</v>
      </c>
      <c r="G25" s="68">
        <f>-DATA!F36*1000</f>
        <v>5495</v>
      </c>
      <c r="H25" s="68">
        <f>-DATA!G36*1000</f>
        <v>5472</v>
      </c>
      <c r="I25" s="69"/>
      <c r="J25" s="70">
        <f>'BS and Working Capital Analysis'!I17</f>
        <v>-5649.0209999999988</v>
      </c>
      <c r="K25" s="70">
        <f>'BS and Working Capital Analysis'!J17</f>
        <v>-5790.2465249999987</v>
      </c>
      <c r="L25" s="70">
        <f>'BS and Working Capital Analysis'!K17</f>
        <v>-5935.0026881249978</v>
      </c>
      <c r="M25" s="70">
        <f>'BS and Working Capital Analysis'!L17</f>
        <v>-6083.3777553281225</v>
      </c>
      <c r="N25" s="70">
        <f>'BS and Working Capital Analysis'!M17</f>
        <v>-6235.4621992113252</v>
      </c>
      <c r="V25" s="69"/>
    </row>
    <row r="26" spans="2:22">
      <c r="B26" s="27"/>
      <c r="C26" s="46" t="s">
        <v>17</v>
      </c>
      <c r="E26" s="64">
        <f>E25/E12</f>
        <v>4.1132949140599444E-2</v>
      </c>
      <c r="F26" s="64">
        <f>F25/E12</f>
        <v>3.0576037446208824E-2</v>
      </c>
      <c r="G26" s="64">
        <f>G25/F12</f>
        <v>6.3605426428372996E-2</v>
      </c>
      <c r="H26" s="64">
        <f>H25/H12</f>
        <v>5.9572800313541056E-2</v>
      </c>
      <c r="I26" s="64"/>
      <c r="J26" s="123">
        <f>J25/J12</f>
        <v>-5.9999999999999991E-2</v>
      </c>
      <c r="K26" s="123">
        <f t="shared" ref="K26:N26" si="3">K25/K12</f>
        <v>-0.06</v>
      </c>
      <c r="L26" s="123">
        <f t="shared" si="3"/>
        <v>-0.06</v>
      </c>
      <c r="M26" s="123">
        <f t="shared" si="3"/>
        <v>-0.06</v>
      </c>
      <c r="N26" s="123">
        <f t="shared" si="3"/>
        <v>-0.06</v>
      </c>
    </row>
    <row r="27" spans="2:22" ht="3.75" customHeight="1">
      <c r="B27" s="27"/>
      <c r="E27" s="48"/>
      <c r="F27" s="48"/>
      <c r="G27" s="48"/>
      <c r="H27" s="48"/>
      <c r="I27" s="48"/>
      <c r="J27" s="92"/>
      <c r="K27" s="92"/>
      <c r="L27" s="92"/>
      <c r="M27" s="92"/>
      <c r="N27" s="92"/>
    </row>
    <row r="28" spans="2:22">
      <c r="B28" s="27"/>
      <c r="C28" s="1" t="s">
        <v>23</v>
      </c>
      <c r="E28" s="68">
        <f>DATA!C37*1000</f>
        <v>3819</v>
      </c>
      <c r="F28" s="68">
        <f>DATA!D37*1000</f>
        <v>-10780</v>
      </c>
      <c r="G28" s="68">
        <f>DATA!E37*1000</f>
        <v>-8523</v>
      </c>
      <c r="H28" s="68">
        <f>DATA!F37*1000</f>
        <v>-3009</v>
      </c>
      <c r="I28" s="73"/>
      <c r="J28" s="71">
        <f>J29*J12</f>
        <v>-5928.439494621246</v>
      </c>
      <c r="K28" s="71">
        <f>K29*K12</f>
        <v>-3161.3306249999996</v>
      </c>
      <c r="L28" s="71">
        <f t="shared" ref="L28:N28" si="4">L29*L12</f>
        <v>-6228.566744036445</v>
      </c>
      <c r="M28" s="71">
        <f t="shared" si="4"/>
        <v>-4852.8269502639896</v>
      </c>
      <c r="N28" s="71">
        <f t="shared" si="4"/>
        <v>-4974.1476240205893</v>
      </c>
      <c r="O28" s="1" t="s">
        <v>24</v>
      </c>
    </row>
    <row r="29" spans="2:22">
      <c r="B29" s="27"/>
      <c r="C29" s="46" t="s">
        <v>17</v>
      </c>
      <c r="E29" s="64">
        <f>E28/E12</f>
        <v>4.8053451443239296E-2</v>
      </c>
      <c r="F29" s="64">
        <f>F28/F12</f>
        <v>-0.12478007222891009</v>
      </c>
      <c r="G29" s="64">
        <f t="shared" ref="G29:H29" si="5">G28/G12</f>
        <v>-9.3177072514786102E-2</v>
      </c>
      <c r="H29" s="64">
        <f t="shared" si="5"/>
        <v>-3.2758508067150041E-2</v>
      </c>
      <c r="I29" s="64"/>
      <c r="J29" s="92">
        <f>AVERAGE(G29:H29)</f>
        <v>-6.2967790290968079E-2</v>
      </c>
      <c r="K29" s="92">
        <f t="shared" ref="K29:N29" si="6">AVERAGE(H29:I29)</f>
        <v>-3.2758508067150041E-2</v>
      </c>
      <c r="L29" s="92">
        <f t="shared" si="6"/>
        <v>-6.2967790290968079E-2</v>
      </c>
      <c r="M29" s="92">
        <f t="shared" si="6"/>
        <v>-4.786314917905906E-2</v>
      </c>
      <c r="N29" s="92">
        <f t="shared" si="6"/>
        <v>-4.786314917905906E-2</v>
      </c>
      <c r="P29" s="48"/>
    </row>
    <row r="30" spans="2:22">
      <c r="B30" s="27"/>
      <c r="C30" s="46"/>
      <c r="E30" s="49"/>
      <c r="F30" s="49"/>
      <c r="G30" s="49"/>
      <c r="H30" s="49"/>
      <c r="I30" s="49"/>
      <c r="J30" s="51"/>
      <c r="K30" s="51"/>
      <c r="L30" s="51"/>
      <c r="M30" s="51"/>
      <c r="N30" s="51"/>
    </row>
    <row r="31" spans="2:22" ht="6.75" hidden="1" customHeight="1">
      <c r="B31" s="27"/>
      <c r="J31" s="4"/>
      <c r="K31" s="4"/>
      <c r="L31" s="4"/>
      <c r="M31" s="4"/>
      <c r="N31" s="4"/>
    </row>
    <row r="32" spans="2:22" ht="3.75" customHeight="1">
      <c r="B32" s="27"/>
      <c r="J32" s="4"/>
      <c r="K32" s="4"/>
      <c r="L32" s="4"/>
      <c r="M32" s="4"/>
      <c r="N32" s="4"/>
    </row>
    <row r="33" spans="2:22">
      <c r="B33" s="27"/>
      <c r="C33" s="31" t="s">
        <v>25</v>
      </c>
      <c r="D33" s="30"/>
      <c r="E33" s="72"/>
      <c r="F33" s="72"/>
      <c r="G33" s="72"/>
      <c r="H33" s="72"/>
      <c r="I33" s="72"/>
      <c r="J33" s="67">
        <f>J21+J22+J25-J28</f>
        <v>9241.5785235383337</v>
      </c>
      <c r="K33" s="67">
        <f>K21+K22+K25-K28</f>
        <v>6592.3363592062533</v>
      </c>
      <c r="L33" s="67">
        <f t="shared" ref="L33:N33" si="7">L21+L22+L25-L28</f>
        <v>9780.7362334597601</v>
      </c>
      <c r="M33" s="67">
        <f t="shared" si="7"/>
        <v>8529.5431749034105</v>
      </c>
      <c r="N33" s="67">
        <f t="shared" si="7"/>
        <v>8778.881677236328</v>
      </c>
      <c r="P33" s="5"/>
      <c r="Q33" s="5"/>
      <c r="R33" s="5"/>
      <c r="S33" s="5"/>
      <c r="T33" s="5"/>
      <c r="U33" s="5"/>
      <c r="V33" s="5"/>
    </row>
    <row r="34" spans="2:22">
      <c r="B34" s="27"/>
      <c r="C34" s="31" t="s">
        <v>26</v>
      </c>
      <c r="D34" s="30"/>
      <c r="E34" s="72"/>
      <c r="F34" s="72"/>
      <c r="G34" s="72"/>
      <c r="H34" s="72"/>
      <c r="I34" s="72"/>
      <c r="J34" s="124">
        <f>1/(1+$K$4)^J10</f>
        <v>0.93842176108791309</v>
      </c>
      <c r="K34" s="124">
        <f t="shared" ref="K34:L34" si="8">1/(1+$K$4)^K10</f>
        <v>0.88063540168334042</v>
      </c>
      <c r="L34" s="124">
        <f t="shared" si="8"/>
        <v>0.82640742452404203</v>
      </c>
      <c r="M34" s="124">
        <f>1/(1+$K$4)^M10</f>
        <v>0.77551871069797829</v>
      </c>
      <c r="N34" s="124">
        <f>1/(1+$K$4)^N10</f>
        <v>0.72776363424982449</v>
      </c>
      <c r="P34" s="5"/>
      <c r="Q34" s="5"/>
      <c r="R34" s="5"/>
      <c r="S34" s="5"/>
      <c r="T34" s="5"/>
      <c r="U34" s="5"/>
      <c r="V34" s="5"/>
    </row>
    <row r="35" spans="2:22">
      <c r="B35" s="27"/>
      <c r="C35" s="31" t="s">
        <v>27</v>
      </c>
      <c r="D35" s="30"/>
      <c r="E35" s="29"/>
      <c r="F35" s="29"/>
      <c r="G35" s="29"/>
      <c r="H35" s="29"/>
      <c r="I35" s="29"/>
      <c r="J35" s="67">
        <f>J33/($K$4+1)^J10</f>
        <v>8672.49839329108</v>
      </c>
      <c r="K35" s="67">
        <f>K33/($K$4+1)^K10</f>
        <v>5805.4447777212881</v>
      </c>
      <c r="L35" s="67">
        <f>L33/($K$4+1)^L10</f>
        <v>8082.8730406424602</v>
      </c>
      <c r="M35" s="67">
        <f>M33/($K$4+1)^M10</f>
        <v>6614.8203258438325</v>
      </c>
      <c r="N35" s="67">
        <f>N33/($K$4+1)^N10</f>
        <v>6388.9508340747052</v>
      </c>
    </row>
    <row r="36" spans="2:22">
      <c r="B36" s="27"/>
      <c r="C36" s="25"/>
      <c r="N36" s="74"/>
    </row>
    <row r="37" spans="2:22" ht="3.75" customHeight="1">
      <c r="B37" s="27"/>
      <c r="N37" s="74"/>
    </row>
    <row r="38" spans="2:22">
      <c r="B38" s="27"/>
      <c r="C38" s="1" t="s">
        <v>28</v>
      </c>
      <c r="G38" s="35"/>
      <c r="K38" s="36"/>
      <c r="N38" s="75">
        <f>(N33*(1+K5))/(K4-K5)</f>
        <v>253860.69198258722</v>
      </c>
    </row>
    <row r="39" spans="2:22">
      <c r="B39" s="27"/>
      <c r="C39" s="28" t="s">
        <v>29</v>
      </c>
      <c r="D39" s="28"/>
      <c r="E39" s="28"/>
      <c r="F39" s="28"/>
      <c r="G39" s="28"/>
      <c r="H39" s="28"/>
      <c r="I39" s="28"/>
      <c r="J39" s="28"/>
      <c r="K39" s="37"/>
      <c r="L39" s="37"/>
      <c r="M39" s="37"/>
      <c r="N39" s="76">
        <f>N38/(K4+1)^N10</f>
        <v>184750.57979042295</v>
      </c>
    </row>
    <row r="40" spans="2:22">
      <c r="B40" s="27"/>
      <c r="C40" s="38" t="s">
        <v>30</v>
      </c>
      <c r="D40" s="38"/>
      <c r="E40" s="38"/>
      <c r="F40" s="38"/>
      <c r="G40" s="38"/>
      <c r="H40" s="38"/>
      <c r="I40" s="38"/>
      <c r="J40" s="38"/>
      <c r="K40" s="39"/>
      <c r="L40" s="39"/>
      <c r="M40" s="39"/>
      <c r="N40" s="77">
        <f>SUM(J35:N35)+N39</f>
        <v>220315.1671619963</v>
      </c>
      <c r="P40" s="77"/>
    </row>
    <row r="41" spans="2:22">
      <c r="B41" s="27"/>
      <c r="C41" s="40" t="s">
        <v>31</v>
      </c>
      <c r="K41" s="41"/>
      <c r="L41" s="41"/>
      <c r="M41" s="41"/>
      <c r="N41" s="78">
        <f>DATA!G20*1000</f>
        <v>8505</v>
      </c>
    </row>
    <row r="42" spans="2:22">
      <c r="B42" s="27"/>
      <c r="C42" s="42" t="s">
        <v>32</v>
      </c>
      <c r="D42" s="28"/>
      <c r="E42" s="28"/>
      <c r="F42" s="28"/>
      <c r="G42" s="28"/>
      <c r="H42" s="28"/>
      <c r="I42" s="28"/>
      <c r="J42" s="28"/>
      <c r="K42" s="43"/>
      <c r="L42" s="43"/>
      <c r="M42" s="43"/>
      <c r="N42" s="79">
        <f>DATA!G17</f>
        <v>1540.7</v>
      </c>
    </row>
    <row r="43" spans="2:22">
      <c r="B43" s="27"/>
      <c r="C43" s="38" t="s">
        <v>33</v>
      </c>
      <c r="D43" s="38"/>
      <c r="E43" s="38"/>
      <c r="F43" s="38"/>
      <c r="G43" s="38"/>
      <c r="H43" s="38"/>
      <c r="I43" s="38"/>
      <c r="J43" s="38"/>
      <c r="K43" s="39"/>
      <c r="L43" s="39"/>
      <c r="M43" s="39"/>
      <c r="N43" s="77">
        <f>N40+N41-N42</f>
        <v>227279.46716199629</v>
      </c>
    </row>
    <row r="44" spans="2:22">
      <c r="B44" s="27"/>
      <c r="C44" s="28" t="s">
        <v>34</v>
      </c>
      <c r="D44" s="28"/>
      <c r="E44" s="28"/>
      <c r="F44" s="28"/>
      <c r="G44" s="28"/>
      <c r="H44" s="28"/>
      <c r="I44" s="28"/>
      <c r="J44" s="28"/>
      <c r="K44" s="43"/>
      <c r="L44" s="43"/>
      <c r="M44" s="43"/>
      <c r="N44" s="131">
        <f>DATA!G22*1000</f>
        <v>1371</v>
      </c>
    </row>
    <row r="45" spans="2:22">
      <c r="B45" s="27"/>
      <c r="C45" s="38" t="s">
        <v>35</v>
      </c>
      <c r="D45" s="38"/>
      <c r="E45" s="38"/>
      <c r="F45" s="38"/>
      <c r="G45" s="38"/>
      <c r="H45" s="38"/>
      <c r="J45" s="38"/>
      <c r="K45" s="44"/>
      <c r="L45" s="44"/>
      <c r="N45" s="75">
        <f>N43/N44</f>
        <v>165.77641660247724</v>
      </c>
    </row>
    <row r="46" spans="2:22">
      <c r="B46" s="27"/>
      <c r="N46" s="74"/>
    </row>
    <row r="47" spans="2:22">
      <c r="B47" s="27"/>
    </row>
    <row r="48" spans="2:22" ht="3.75" customHeight="1">
      <c r="B48" s="27"/>
    </row>
    <row r="49" spans="2:14">
      <c r="B49" s="27"/>
      <c r="J49" s="83"/>
      <c r="K49" s="101"/>
      <c r="L49" s="101"/>
      <c r="M49" s="101"/>
      <c r="N49" s="101"/>
    </row>
    <row r="50" spans="2:14">
      <c r="B50" s="27"/>
      <c r="J50" s="102"/>
    </row>
    <row r="51" spans="2:14">
      <c r="B51" s="27"/>
      <c r="J51" s="102"/>
    </row>
    <row r="52" spans="2:14">
      <c r="B52" s="27"/>
      <c r="J52" s="102"/>
    </row>
    <row r="53" spans="2:14">
      <c r="B53" s="27"/>
      <c r="J53" s="102"/>
    </row>
    <row r="54" spans="2:14">
      <c r="B54" s="27"/>
    </row>
    <row r="65" spans="5:8">
      <c r="H65" s="9"/>
    </row>
    <row r="66" spans="5:8">
      <c r="H66" s="9"/>
    </row>
    <row r="67" spans="5:8">
      <c r="E67" s="9"/>
      <c r="F67" s="9"/>
      <c r="G67" s="9"/>
      <c r="H67" s="9"/>
    </row>
    <row r="68" spans="5:8">
      <c r="E68" s="9"/>
      <c r="F68" s="9"/>
      <c r="G68" s="9"/>
      <c r="H68" s="9"/>
    </row>
    <row r="69" spans="5:8">
      <c r="E69" s="9"/>
      <c r="F69" s="84"/>
      <c r="G69" s="9"/>
      <c r="H69" s="9"/>
    </row>
  </sheetData>
  <dataValidations count="1">
    <dataValidation type="list" allowBlank="1" showInputMessage="1" showErrorMessage="1" sqref="N4" xr:uid="{EE2C55B5-5ED1-4917-8178-A85379160269}">
      <formula1>"1,2,3"</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4C02E98-1F21-4394-AED0-4CA1B2B83EB4}">
          <x14:formula1>
            <xm:f>WACC!$D$21:$D$22</xm:f>
          </x14:formula1>
          <xm:sqref>K4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29344-ADC6-447A-848D-29B3DF820476}">
  <sheetPr>
    <tabColor rgb="FF002060"/>
  </sheetPr>
  <dimension ref="B4"/>
  <sheetViews>
    <sheetView workbookViewId="0">
      <selection activeCell="K30" sqref="K30"/>
    </sheetView>
  </sheetViews>
  <sheetFormatPr defaultColWidth="8.42578125" defaultRowHeight="15"/>
  <cols>
    <col min="1" max="16384" width="8.42578125" style="1"/>
  </cols>
  <sheetData>
    <row r="4" spans="2:2" ht="36.950000000000003">
      <c r="B4" s="81"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4E26-16DA-48E2-A6B9-06C0A0615DF8}">
  <dimension ref="B1:R53"/>
  <sheetViews>
    <sheetView tabSelected="1" topLeftCell="A17" zoomScale="136" zoomScaleNormal="91" workbookViewId="0">
      <selection activeCell="N51" sqref="N51"/>
    </sheetView>
  </sheetViews>
  <sheetFormatPr defaultColWidth="8.42578125" defaultRowHeight="15"/>
  <cols>
    <col min="1" max="1" width="2.42578125" style="1" customWidth="1"/>
    <col min="2" max="2" width="21.85546875" style="9" bestFit="1" customWidth="1"/>
    <col min="3" max="3" width="9" style="9" bestFit="1" customWidth="1"/>
    <col min="4" max="4" width="8.85546875" style="9" bestFit="1" customWidth="1"/>
    <col min="5" max="5" width="10.42578125" style="9" bestFit="1" customWidth="1"/>
    <col min="6" max="6" width="8.85546875" style="9" bestFit="1" customWidth="1"/>
    <col min="7" max="7" width="2" style="9" customWidth="1"/>
    <col min="8" max="8" width="11" style="9" bestFit="1" customWidth="1"/>
    <col min="9" max="12" width="10.42578125" style="9" bestFit="1" customWidth="1"/>
    <col min="13" max="14" width="8.42578125" style="1"/>
    <col min="15" max="15" width="13.7109375" style="1" bestFit="1" customWidth="1"/>
    <col min="16" max="16384" width="8.42578125" style="1"/>
  </cols>
  <sheetData>
    <row r="1" spans="2:18" ht="15.95">
      <c r="B1" s="8" t="s">
        <v>37</v>
      </c>
    </row>
    <row r="2" spans="2:18" ht="15.95">
      <c r="B2" s="8"/>
    </row>
    <row r="4" spans="2:18" ht="27">
      <c r="B4" s="10" t="s">
        <v>38</v>
      </c>
      <c r="C4" s="11" t="s">
        <v>39</v>
      </c>
      <c r="D4" s="11" t="s">
        <v>40</v>
      </c>
      <c r="E4" s="11" t="s">
        <v>41</v>
      </c>
      <c r="F4" s="11" t="s">
        <v>42</v>
      </c>
      <c r="G4" s="12"/>
      <c r="H4" s="13" t="s">
        <v>43</v>
      </c>
      <c r="I4" s="13" t="s">
        <v>44</v>
      </c>
      <c r="J4" s="13" t="s">
        <v>45</v>
      </c>
      <c r="K4" s="13" t="s">
        <v>46</v>
      </c>
      <c r="L4" s="13" t="s">
        <v>47</v>
      </c>
      <c r="N4" s="38" t="s">
        <v>48</v>
      </c>
    </row>
    <row r="5" spans="2:18">
      <c r="B5" s="9" t="s">
        <v>49</v>
      </c>
      <c r="C5" s="61">
        <v>79474</v>
      </c>
      <c r="D5" s="61">
        <v>86392</v>
      </c>
      <c r="E5" s="61">
        <v>91471</v>
      </c>
      <c r="F5" s="61">
        <v>91854</v>
      </c>
      <c r="H5" s="82">
        <f>F5*(H6+1)</f>
        <v>94150.349999999991</v>
      </c>
      <c r="I5" s="82">
        <f>H5*(1+I6)</f>
        <v>96504.108749999985</v>
      </c>
      <c r="J5" s="82">
        <f t="shared" ref="J5:L5" si="0">I5*(1+J6)</f>
        <v>98916.711468749971</v>
      </c>
      <c r="K5" s="82">
        <f t="shared" si="0"/>
        <v>101389.62925546871</v>
      </c>
      <c r="L5" s="82">
        <f t="shared" si="0"/>
        <v>103924.36998685542</v>
      </c>
      <c r="M5" s="1" t="s">
        <v>50</v>
      </c>
      <c r="N5" s="1" t="s">
        <v>51</v>
      </c>
    </row>
    <row r="6" spans="2:18">
      <c r="B6" s="9" t="s">
        <v>52</v>
      </c>
      <c r="C6" s="60">
        <f>(DATA!D4-DATA!C4)/DATA!C4</f>
        <v>0.12934121525606782</v>
      </c>
      <c r="D6" s="60">
        <f>(DATA!E4-DATA!D4)/DATA!D4</f>
        <v>8.704733623574995E-2</v>
      </c>
      <c r="E6" s="60">
        <f>(DATA!F4-DATA!E4)/DATA!E4</f>
        <v>5.8790165756088621E-2</v>
      </c>
      <c r="F6" s="60">
        <f>(DATA!G4-DATA!F4)/DATA!F4</f>
        <v>4.1871194148964761E-3</v>
      </c>
      <c r="H6" s="103">
        <v>2.5000000000000001E-2</v>
      </c>
      <c r="I6" s="103">
        <v>2.5000000000000001E-2</v>
      </c>
      <c r="J6" s="103">
        <v>2.5000000000000001E-2</v>
      </c>
      <c r="K6" s="103">
        <v>2.5000000000000001E-2</v>
      </c>
      <c r="L6" s="103">
        <v>2.5000000000000001E-2</v>
      </c>
      <c r="M6" s="1" t="s">
        <v>50</v>
      </c>
    </row>
    <row r="7" spans="2:18">
      <c r="B7" s="9" t="s">
        <v>53</v>
      </c>
      <c r="C7" s="18"/>
      <c r="D7" s="18"/>
      <c r="E7" s="18"/>
      <c r="F7" s="18"/>
      <c r="H7" s="17">
        <v>0.04</v>
      </c>
      <c r="I7" s="17">
        <v>0.04</v>
      </c>
      <c r="J7" s="17">
        <v>0.04</v>
      </c>
      <c r="K7" s="17">
        <v>0.04</v>
      </c>
      <c r="L7" s="17">
        <v>0.04</v>
      </c>
      <c r="M7" s="1" t="s">
        <v>50</v>
      </c>
      <c r="R7" s="63"/>
    </row>
    <row r="8" spans="2:18">
      <c r="B8" s="9" t="s">
        <v>54</v>
      </c>
      <c r="C8" s="18"/>
      <c r="D8" s="18"/>
      <c r="E8" s="18"/>
      <c r="F8" s="18"/>
      <c r="H8" s="103">
        <v>2.5000000000000001E-2</v>
      </c>
      <c r="I8" s="103">
        <v>2.5000000000000001E-2</v>
      </c>
      <c r="J8" s="103">
        <v>2.5000000000000001E-2</v>
      </c>
      <c r="K8" s="103">
        <v>2.5000000000000001E-2</v>
      </c>
      <c r="L8" s="103">
        <v>2.5000000000000001E-2</v>
      </c>
      <c r="M8" s="1" t="s">
        <v>50</v>
      </c>
    </row>
    <row r="9" spans="2:18">
      <c r="B9" s="9" t="s">
        <v>55</v>
      </c>
      <c r="C9" s="18"/>
      <c r="D9" s="18"/>
      <c r="E9" s="18"/>
      <c r="F9" s="18"/>
      <c r="H9" s="17">
        <v>0.01</v>
      </c>
      <c r="I9" s="17">
        <v>0.01</v>
      </c>
      <c r="J9" s="17">
        <v>0.01</v>
      </c>
      <c r="K9" s="17">
        <v>0.01</v>
      </c>
      <c r="L9" s="17">
        <v>0.01</v>
      </c>
      <c r="M9" s="1" t="s">
        <v>50</v>
      </c>
    </row>
    <row r="10" spans="2:18" ht="5.25" customHeight="1">
      <c r="C10" s="1"/>
      <c r="D10" s="1"/>
      <c r="E10" s="1"/>
      <c r="F10" s="1"/>
      <c r="H10" s="15"/>
      <c r="I10" s="15"/>
      <c r="J10" s="15"/>
      <c r="K10" s="15"/>
      <c r="L10" s="15"/>
      <c r="M10" s="1" t="s">
        <v>50</v>
      </c>
    </row>
    <row r="11" spans="2:18">
      <c r="B11" s="9" t="s">
        <v>56</v>
      </c>
      <c r="C11" s="61">
        <v>0</v>
      </c>
      <c r="D11" s="61">
        <v>0</v>
      </c>
      <c r="E11" s="61">
        <v>0</v>
      </c>
      <c r="F11" s="61">
        <v>0</v>
      </c>
      <c r="H11" s="82">
        <f>F11*(1+H12)</f>
        <v>0</v>
      </c>
      <c r="I11" s="82">
        <f>H11*(1+I12)</f>
        <v>0</v>
      </c>
      <c r="J11" s="82">
        <f t="shared" ref="J11:L11" si="1">I11*(1+J12)</f>
        <v>0</v>
      </c>
      <c r="K11" s="82">
        <f t="shared" si="1"/>
        <v>0</v>
      </c>
      <c r="L11" s="82">
        <f t="shared" si="1"/>
        <v>0</v>
      </c>
      <c r="M11" s="1" t="s">
        <v>50</v>
      </c>
      <c r="N11" s="1" t="s">
        <v>57</v>
      </c>
    </row>
    <row r="12" spans="2:18">
      <c r="B12" s="9" t="s">
        <v>52</v>
      </c>
      <c r="D12" s="19"/>
      <c r="E12" s="19"/>
      <c r="F12" s="19"/>
      <c r="H12" s="17">
        <f>CHOOSE(DCF!$N$4,H13,H14,H15)</f>
        <v>0</v>
      </c>
      <c r="I12" s="17">
        <f>CHOOSE(DCF!$N$4,I13,I14,I15)</f>
        <v>0</v>
      </c>
      <c r="J12" s="17">
        <f>CHOOSE(DCF!$N$4,J13,J14,J15)</f>
        <v>0</v>
      </c>
      <c r="K12" s="17">
        <f>CHOOSE(DCF!$N$4,K13,K14,K15)</f>
        <v>0</v>
      </c>
      <c r="L12" s="17">
        <f>CHOOSE(DCF!$N$4,L13,L14,L15)</f>
        <v>0</v>
      </c>
      <c r="M12" s="1" t="s">
        <v>50</v>
      </c>
    </row>
    <row r="13" spans="2:18">
      <c r="B13" s="9" t="s">
        <v>53</v>
      </c>
      <c r="C13" s="18"/>
      <c r="D13" s="18"/>
      <c r="E13" s="18"/>
      <c r="F13" s="18"/>
      <c r="H13" s="17">
        <v>0</v>
      </c>
      <c r="I13" s="17">
        <v>0</v>
      </c>
      <c r="J13" s="17">
        <v>0</v>
      </c>
      <c r="K13" s="17">
        <v>0</v>
      </c>
      <c r="L13" s="17">
        <v>0</v>
      </c>
      <c r="M13" s="1" t="s">
        <v>50</v>
      </c>
    </row>
    <row r="14" spans="2:18">
      <c r="B14" s="9" t="s">
        <v>54</v>
      </c>
      <c r="C14" s="18"/>
      <c r="D14" s="18"/>
      <c r="E14" s="18"/>
      <c r="F14" s="18"/>
      <c r="H14" s="17">
        <v>0</v>
      </c>
      <c r="I14" s="17">
        <v>0</v>
      </c>
      <c r="J14" s="17">
        <v>0</v>
      </c>
      <c r="K14" s="17">
        <v>0</v>
      </c>
      <c r="L14" s="17">
        <v>0</v>
      </c>
      <c r="M14" s="1" t="s">
        <v>50</v>
      </c>
    </row>
    <row r="15" spans="2:18">
      <c r="B15" s="9" t="s">
        <v>55</v>
      </c>
      <c r="C15" s="18"/>
      <c r="D15" s="18"/>
      <c r="E15" s="18"/>
      <c r="F15" s="18"/>
      <c r="H15" s="17">
        <v>0</v>
      </c>
      <c r="I15" s="17">
        <v>0</v>
      </c>
      <c r="J15" s="17">
        <v>0</v>
      </c>
      <c r="K15" s="17">
        <v>0</v>
      </c>
      <c r="L15" s="17">
        <v>0</v>
      </c>
      <c r="M15" s="1" t="s">
        <v>50</v>
      </c>
    </row>
    <row r="16" spans="2:18" ht="5.25" customHeight="1">
      <c r="C16" s="1"/>
      <c r="D16" s="1"/>
      <c r="E16" s="1"/>
      <c r="F16" s="1"/>
      <c r="H16" s="15"/>
      <c r="I16" s="15"/>
      <c r="J16" s="15"/>
      <c r="K16" s="15"/>
      <c r="L16" s="15"/>
      <c r="M16" s="1" t="s">
        <v>50</v>
      </c>
    </row>
    <row r="17" spans="2:14">
      <c r="B17" s="9" t="s">
        <v>58</v>
      </c>
      <c r="C17" s="61">
        <f>DATA!D5*1000</f>
        <v>37075</v>
      </c>
      <c r="D17" s="61">
        <f>DATA!E5*1000</f>
        <v>40576</v>
      </c>
      <c r="E17" s="61">
        <f>DATA!F5*1000</f>
        <v>41881</v>
      </c>
      <c r="F17" s="61">
        <f>DATA!G5*1000</f>
        <v>41744</v>
      </c>
      <c r="H17" s="82">
        <f>H18*H5</f>
        <v>45192.167999999991</v>
      </c>
      <c r="I17" s="82">
        <f t="shared" ref="I17:L17" si="2">I18*I5</f>
        <v>46321.972199999989</v>
      </c>
      <c r="J17" s="82">
        <f t="shared" si="2"/>
        <v>47480.021504999982</v>
      </c>
      <c r="K17" s="82">
        <f t="shared" si="2"/>
        <v>48667.02204262498</v>
      </c>
      <c r="L17" s="82">
        <f t="shared" si="2"/>
        <v>49883.697593690602</v>
      </c>
      <c r="M17" s="1" t="s">
        <v>50</v>
      </c>
      <c r="N17" s="1" t="s">
        <v>59</v>
      </c>
    </row>
    <row r="18" spans="2:14">
      <c r="B18" s="9" t="s">
        <v>60</v>
      </c>
      <c r="C18" s="16">
        <f>C17/C5</f>
        <v>0.46650476885522307</v>
      </c>
      <c r="D18" s="16">
        <f>D17/C5</f>
        <v>0.51055691169439066</v>
      </c>
      <c r="E18" s="16">
        <f>E17/D5</f>
        <v>0.48477868321140849</v>
      </c>
      <c r="F18" s="16">
        <f t="shared" ref="F18" si="3">F17/F5</f>
        <v>0.45446033923400181</v>
      </c>
      <c r="H18" s="17">
        <f>CHOOSE(DCF!$N$4,H19,H20,H21)</f>
        <v>0.48</v>
      </c>
      <c r="I18" s="17">
        <f>CHOOSE(DCF!$N$4,I19,I20,I21)</f>
        <v>0.48</v>
      </c>
      <c r="J18" s="17">
        <f>CHOOSE(DCF!$N$4,J19,J20,J21)</f>
        <v>0.48</v>
      </c>
      <c r="K18" s="17">
        <f>CHOOSE(DCF!$N$4,K19,K20,K21)</f>
        <v>0.48</v>
      </c>
      <c r="L18" s="17">
        <f>CHOOSE(DCF!$N$4,L19,L20,L21)</f>
        <v>0.48</v>
      </c>
      <c r="M18" s="1" t="s">
        <v>50</v>
      </c>
    </row>
    <row r="19" spans="2:14">
      <c r="B19" s="9" t="s">
        <v>53</v>
      </c>
      <c r="C19" s="18"/>
      <c r="D19" s="18"/>
      <c r="E19" s="18"/>
      <c r="F19" s="18"/>
      <c r="H19" s="103">
        <v>0.45</v>
      </c>
      <c r="I19" s="103">
        <v>0.45</v>
      </c>
      <c r="J19" s="103">
        <v>0.45</v>
      </c>
      <c r="K19" s="103">
        <v>0.45</v>
      </c>
      <c r="L19" s="103">
        <v>0.45</v>
      </c>
      <c r="M19" s="1" t="s">
        <v>50</v>
      </c>
    </row>
    <row r="20" spans="2:14">
      <c r="B20" s="9" t="s">
        <v>54</v>
      </c>
      <c r="C20" s="18"/>
      <c r="D20" s="18"/>
      <c r="E20" s="18"/>
      <c r="F20" s="18"/>
      <c r="H20" s="103">
        <v>0.48</v>
      </c>
      <c r="I20" s="103">
        <v>0.48</v>
      </c>
      <c r="J20" s="103">
        <v>0.48</v>
      </c>
      <c r="K20" s="103">
        <v>0.48</v>
      </c>
      <c r="L20" s="103">
        <v>0.48</v>
      </c>
      <c r="M20" s="1" t="s">
        <v>50</v>
      </c>
    </row>
    <row r="21" spans="2:14">
      <c r="B21" s="9" t="s">
        <v>55</v>
      </c>
      <c r="C21" s="18"/>
      <c r="D21" s="18"/>
      <c r="E21" s="18"/>
      <c r="F21" s="18"/>
      <c r="H21" s="103">
        <v>0.51</v>
      </c>
      <c r="I21" s="103">
        <v>0.51</v>
      </c>
      <c r="J21" s="103">
        <v>0.51</v>
      </c>
      <c r="K21" s="103">
        <v>0.51</v>
      </c>
      <c r="L21" s="103">
        <v>0.51</v>
      </c>
      <c r="M21" s="1" t="s">
        <v>50</v>
      </c>
    </row>
    <row r="22" spans="2:14" ht="5.25" customHeight="1">
      <c r="C22" s="1"/>
      <c r="D22" s="1"/>
      <c r="E22" s="1"/>
      <c r="F22" s="1"/>
      <c r="H22" s="15"/>
      <c r="I22" s="15"/>
      <c r="J22" s="15"/>
      <c r="K22" s="15"/>
      <c r="L22" s="15"/>
      <c r="M22" s="1" t="s">
        <v>50</v>
      </c>
    </row>
    <row r="23" spans="2:14">
      <c r="B23" s="9" t="s">
        <v>61</v>
      </c>
      <c r="C23" s="61">
        <f>DATA!D6*1000</f>
        <v>31237</v>
      </c>
      <c r="D23" s="61">
        <f>DATA!E6*1000</f>
        <v>34459</v>
      </c>
      <c r="E23" s="61">
        <f>DATA!F6*1000</f>
        <v>36677</v>
      </c>
      <c r="F23" s="61">
        <f>DATA!G6*1000</f>
        <v>37190</v>
      </c>
      <c r="H23" s="82">
        <f>H5*H24</f>
        <v>37660.14</v>
      </c>
      <c r="I23" s="82">
        <f t="shared" ref="I23:L23" si="4">I5*I24</f>
        <v>38601.643499999998</v>
      </c>
      <c r="J23" s="82">
        <f t="shared" si="4"/>
        <v>39566.684587499993</v>
      </c>
      <c r="K23" s="82">
        <f t="shared" si="4"/>
        <v>40555.851702187487</v>
      </c>
      <c r="L23" s="82">
        <f t="shared" si="4"/>
        <v>41569.747994742174</v>
      </c>
      <c r="M23" s="1" t="s">
        <v>50</v>
      </c>
      <c r="N23" s="1" t="s">
        <v>62</v>
      </c>
    </row>
    <row r="24" spans="2:14">
      <c r="B24" s="9" t="s">
        <v>60</v>
      </c>
      <c r="C24" s="16">
        <f>C23/C5</f>
        <v>0.39304678259556586</v>
      </c>
      <c r="D24" s="16">
        <f>D23/D5</f>
        <v>0.39886795073617926</v>
      </c>
      <c r="E24" s="16">
        <f>E23/E5</f>
        <v>0.40096861300302827</v>
      </c>
      <c r="F24" s="16">
        <f t="shared" ref="F24" si="5">F23/F5</f>
        <v>0.40488166002569292</v>
      </c>
      <c r="H24" s="17">
        <f>CHOOSE(DCF!$N$4,H25,H26,H27)</f>
        <v>0.4</v>
      </c>
      <c r="I24" s="17">
        <f>CHOOSE(DCF!$N$4,I25,I26,I27)</f>
        <v>0.4</v>
      </c>
      <c r="J24" s="17">
        <f>CHOOSE(DCF!$N$4,J25,J26,J27)</f>
        <v>0.4</v>
      </c>
      <c r="K24" s="17">
        <f>CHOOSE(DCF!$N$4,K25,K26,K27)</f>
        <v>0.4</v>
      </c>
      <c r="L24" s="17">
        <f>CHOOSE(DCF!$N$4,L25,L26,L27)</f>
        <v>0.4</v>
      </c>
      <c r="M24" s="1" t="s">
        <v>50</v>
      </c>
    </row>
    <row r="25" spans="2:14">
      <c r="B25" s="9" t="s">
        <v>53</v>
      </c>
      <c r="C25" s="18"/>
      <c r="D25" s="18"/>
      <c r="E25" s="18"/>
      <c r="F25" s="18"/>
      <c r="H25" s="103">
        <v>0.39500000000000002</v>
      </c>
      <c r="I25" s="103">
        <v>0.39500000000000002</v>
      </c>
      <c r="J25" s="103">
        <v>0.39500000000000002</v>
      </c>
      <c r="K25" s="103">
        <v>0.39500000000000002</v>
      </c>
      <c r="L25" s="103">
        <v>0.39500000000000002</v>
      </c>
      <c r="M25" s="1" t="s">
        <v>50</v>
      </c>
    </row>
    <row r="26" spans="2:14">
      <c r="B26" s="9" t="s">
        <v>54</v>
      </c>
      <c r="C26" s="18"/>
      <c r="D26" s="18"/>
      <c r="E26" s="18"/>
      <c r="F26" s="18"/>
      <c r="H26" s="17">
        <v>0.4</v>
      </c>
      <c r="I26" s="17">
        <v>0.4</v>
      </c>
      <c r="J26" s="17">
        <v>0.4</v>
      </c>
      <c r="K26" s="17">
        <v>0.4</v>
      </c>
      <c r="L26" s="17">
        <v>0.4</v>
      </c>
      <c r="M26" s="1" t="s">
        <v>50</v>
      </c>
    </row>
    <row r="27" spans="2:14">
      <c r="B27" s="9" t="s">
        <v>55</v>
      </c>
      <c r="C27" s="18"/>
      <c r="D27" s="18"/>
      <c r="E27" s="18"/>
      <c r="F27" s="18"/>
      <c r="H27" s="103">
        <v>0.40500000000000003</v>
      </c>
      <c r="I27" s="103">
        <v>0.40500000000000003</v>
      </c>
      <c r="J27" s="103">
        <v>0.40500000000000003</v>
      </c>
      <c r="K27" s="103">
        <v>0.40500000000000003</v>
      </c>
      <c r="L27" s="103">
        <v>0.40500000000000003</v>
      </c>
      <c r="M27" s="1" t="s">
        <v>50</v>
      </c>
    </row>
    <row r="28" spans="2:14" ht="5.25" customHeight="1">
      <c r="C28" s="1"/>
      <c r="D28" s="1"/>
      <c r="E28" s="1"/>
      <c r="F28" s="1"/>
      <c r="H28" s="15"/>
      <c r="I28" s="15"/>
      <c r="J28" s="15"/>
      <c r="K28" s="15"/>
      <c r="L28" s="15"/>
      <c r="M28" s="1" t="s">
        <v>50</v>
      </c>
    </row>
    <row r="29" spans="2:14">
      <c r="B29" s="9" t="s">
        <v>21</v>
      </c>
      <c r="C29" s="61">
        <f>DATA!D9*1000</f>
        <v>3215</v>
      </c>
      <c r="D29" s="61">
        <f>DATA!E9*1000</f>
        <v>3279.9999999999995</v>
      </c>
      <c r="E29" s="61">
        <f>DATA!F9*1000</f>
        <v>3517.9999999999991</v>
      </c>
      <c r="F29" s="61">
        <f>DATA!G9*1000</f>
        <v>3815.0000000000014</v>
      </c>
      <c r="H29" s="82">
        <f>F29*(1+H30)</f>
        <v>3975.2300000000014</v>
      </c>
      <c r="I29" s="82">
        <f>H29*(1+I30)</f>
        <v>4146.1648900000009</v>
      </c>
      <c r="J29" s="82">
        <f t="shared" ref="J29:L29" si="6">I29*(1+J30)</f>
        <v>4324.4499802700011</v>
      </c>
      <c r="K29" s="82">
        <f t="shared" si="6"/>
        <v>4514.7257794018815</v>
      </c>
      <c r="L29" s="82">
        <f t="shared" si="6"/>
        <v>4713.3737136955642</v>
      </c>
      <c r="M29" s="1" t="s">
        <v>50</v>
      </c>
      <c r="N29" s="1" t="s">
        <v>63</v>
      </c>
    </row>
    <row r="30" spans="2:14">
      <c r="B30" s="9" t="s">
        <v>60</v>
      </c>
      <c r="C30" s="16">
        <f>C29/C5</f>
        <v>4.0453481641794804E-2</v>
      </c>
      <c r="D30" s="16">
        <f>D29/C5</f>
        <v>4.1271359186652236E-2</v>
      </c>
      <c r="E30" s="16">
        <f>E29/D5</f>
        <v>4.0721363089174914E-2</v>
      </c>
      <c r="F30" s="16">
        <f t="shared" ref="F30" si="7">F29/F5</f>
        <v>4.1533302850175292E-2</v>
      </c>
      <c r="H30" s="103">
        <f>CHOOSE(DCF!$N$4,H31,H32,H33)</f>
        <v>4.2000000000000003E-2</v>
      </c>
      <c r="I30" s="103">
        <f>CHOOSE(DCF!$N$4,I31,I32,I33)</f>
        <v>4.2999999999999997E-2</v>
      </c>
      <c r="J30" s="103">
        <f>CHOOSE(DCF!$N$4,J31,J32,J33)</f>
        <v>4.2999999999999997E-2</v>
      </c>
      <c r="K30" s="103">
        <f>CHOOSE(DCF!$N$4,K31,K32,K33)</f>
        <v>4.3999999999999997E-2</v>
      </c>
      <c r="L30" s="103">
        <f>CHOOSE(DCF!$N$4,L31,L32,L33)</f>
        <v>4.3999999999999997E-2</v>
      </c>
      <c r="M30" s="1" t="s">
        <v>50</v>
      </c>
    </row>
    <row r="31" spans="2:14">
      <c r="B31" s="9" t="s">
        <v>53</v>
      </c>
      <c r="C31" s="18"/>
      <c r="D31" s="18"/>
      <c r="E31" s="18"/>
      <c r="F31" s="18"/>
      <c r="H31" s="103">
        <v>4.2000000000000003E-2</v>
      </c>
      <c r="I31" s="103">
        <v>4.2999999999999997E-2</v>
      </c>
      <c r="J31" s="103">
        <v>4.2999999999999997E-2</v>
      </c>
      <c r="K31" s="103">
        <v>4.3999999999999997E-2</v>
      </c>
      <c r="L31" s="103">
        <v>4.3999999999999997E-2</v>
      </c>
      <c r="M31" s="1" t="s">
        <v>50</v>
      </c>
    </row>
    <row r="32" spans="2:14">
      <c r="B32" s="9" t="s">
        <v>54</v>
      </c>
      <c r="C32" s="18"/>
      <c r="D32" s="18"/>
      <c r="E32" s="18"/>
      <c r="F32" s="18"/>
      <c r="H32" s="103">
        <v>4.2000000000000003E-2</v>
      </c>
      <c r="I32" s="103">
        <v>4.2999999999999997E-2</v>
      </c>
      <c r="J32" s="103">
        <v>4.2999999999999997E-2</v>
      </c>
      <c r="K32" s="103">
        <v>4.3999999999999997E-2</v>
      </c>
      <c r="L32" s="103">
        <v>4.3999999999999997E-2</v>
      </c>
      <c r="M32" s="1" t="s">
        <v>50</v>
      </c>
    </row>
    <row r="33" spans="2:14">
      <c r="B33" s="9" t="s">
        <v>55</v>
      </c>
      <c r="C33" s="18"/>
      <c r="D33" s="18"/>
      <c r="E33" s="18"/>
      <c r="F33" s="18"/>
      <c r="H33" s="103">
        <v>4.2000000000000003E-2</v>
      </c>
      <c r="I33" s="103">
        <v>4.2999999999999997E-2</v>
      </c>
      <c r="J33" s="103">
        <v>4.2999999999999997E-2</v>
      </c>
      <c r="K33" s="103">
        <v>4.3999999999999997E-2</v>
      </c>
      <c r="L33" s="103">
        <v>4.3999999999999997E-2</v>
      </c>
      <c r="M33" s="1" t="s">
        <v>50</v>
      </c>
    </row>
    <row r="34" spans="2:14" ht="3.75" customHeight="1">
      <c r="C34" s="1"/>
      <c r="D34" s="1"/>
      <c r="E34" s="1"/>
      <c r="F34" s="1"/>
      <c r="G34" s="1"/>
      <c r="H34" s="4"/>
      <c r="I34" s="103">
        <v>4.2999999999999997E-2</v>
      </c>
      <c r="J34" s="103">
        <v>4.2999999999999997E-2</v>
      </c>
      <c r="K34" s="4"/>
      <c r="L34" s="4"/>
      <c r="M34" s="1" t="s">
        <v>50</v>
      </c>
    </row>
    <row r="35" spans="2:14" ht="5.25" customHeight="1">
      <c r="C35" s="1"/>
      <c r="D35" s="1"/>
      <c r="E35" s="1"/>
      <c r="F35" s="1"/>
      <c r="H35" s="15"/>
      <c r="I35" s="15"/>
      <c r="J35" s="15"/>
      <c r="K35" s="15"/>
      <c r="L35" s="15"/>
      <c r="M35" s="1" t="s">
        <v>50</v>
      </c>
    </row>
    <row r="36" spans="2:14" ht="3" customHeight="1">
      <c r="C36" s="18"/>
      <c r="D36" s="18"/>
      <c r="E36" s="18"/>
      <c r="F36" s="18"/>
      <c r="H36" s="17"/>
      <c r="I36" s="17"/>
      <c r="J36" s="17"/>
      <c r="K36" s="17"/>
      <c r="L36" s="17"/>
      <c r="M36" s="1" t="s">
        <v>50</v>
      </c>
    </row>
    <row r="37" spans="2:14">
      <c r="B37" s="9" t="s">
        <v>64</v>
      </c>
      <c r="C37" s="61">
        <f>DATA!D10*1000</f>
        <v>1863</v>
      </c>
      <c r="D37" s="61">
        <f>DATA!E10*1000</f>
        <v>939</v>
      </c>
      <c r="E37" s="61">
        <f>DATA!F10*1000</f>
        <v>819</v>
      </c>
      <c r="F37" s="61">
        <f>DATA!G10*1000</f>
        <v>919</v>
      </c>
      <c r="H37" s="82">
        <f>F37*(1+H38)</f>
        <v>1029.2800000000002</v>
      </c>
      <c r="I37" s="82">
        <f>H37*(1+I38)</f>
        <v>1152.7936000000004</v>
      </c>
      <c r="J37" s="82">
        <f t="shared" ref="J37:L37" si="8">I37*(1+J38)</f>
        <v>1291.1288320000006</v>
      </c>
      <c r="K37" s="82">
        <f t="shared" si="8"/>
        <v>1446.0642918400008</v>
      </c>
      <c r="L37" s="82">
        <f t="shared" si="8"/>
        <v>1619.5920068608011</v>
      </c>
      <c r="M37" s="1" t="s">
        <v>50</v>
      </c>
      <c r="N37" s="1" t="s">
        <v>65</v>
      </c>
    </row>
    <row r="38" spans="2:14">
      <c r="B38" s="9" t="s">
        <v>66</v>
      </c>
      <c r="C38" s="19">
        <f>(C37-(DATA!C10*1000))/'P&amp;L Assumptions'!C37</f>
        <v>0.39452495974235102</v>
      </c>
      <c r="D38" s="16">
        <f>(D37-C37)/C37</f>
        <v>-0.49597423510466987</v>
      </c>
      <c r="E38" s="16">
        <f t="shared" ref="E38" si="9">(E37-D37)/D37</f>
        <v>-0.12779552715654952</v>
      </c>
      <c r="F38" s="16">
        <f t="shared" ref="F38" si="10">(F37-E37)/E37</f>
        <v>0.1221001221001221</v>
      </c>
      <c r="H38" s="17">
        <f>CHOOSE(DCF!$N$4,H39,H40,H41)</f>
        <v>0.12</v>
      </c>
      <c r="I38" s="17">
        <f>CHOOSE(DCF!$N$4,I39,I40,I41)</f>
        <v>0.12</v>
      </c>
      <c r="J38" s="17">
        <f>CHOOSE(DCF!$N$4,J39,J40,J41)</f>
        <v>0.12</v>
      </c>
      <c r="K38" s="17">
        <f>CHOOSE(DCF!$N$4,K39,K40,K41)</f>
        <v>0.12</v>
      </c>
      <c r="L38" s="17">
        <f>CHOOSE(DCF!$N$4,L39,L40,L41)</f>
        <v>0.12</v>
      </c>
      <c r="M38" s="1" t="s">
        <v>50</v>
      </c>
    </row>
    <row r="39" spans="2:14">
      <c r="B39" s="9" t="s">
        <v>53</v>
      </c>
      <c r="C39" s="18"/>
      <c r="D39" s="18"/>
      <c r="E39" s="18"/>
      <c r="F39" s="18"/>
      <c r="H39" s="17">
        <v>0.06</v>
      </c>
      <c r="I39" s="17">
        <v>0.06</v>
      </c>
      <c r="J39" s="17">
        <v>0.06</v>
      </c>
      <c r="K39" s="17">
        <v>0.06</v>
      </c>
      <c r="L39" s="17">
        <v>0.06</v>
      </c>
      <c r="M39" s="1" t="s">
        <v>50</v>
      </c>
    </row>
    <row r="40" spans="2:14">
      <c r="B40" s="9" t="s">
        <v>54</v>
      </c>
      <c r="C40" s="18"/>
      <c r="D40" s="18"/>
      <c r="E40" s="18"/>
      <c r="F40" s="18"/>
      <c r="H40" s="17">
        <v>0.12</v>
      </c>
      <c r="I40" s="17">
        <v>0.12</v>
      </c>
      <c r="J40" s="17">
        <v>0.12</v>
      </c>
      <c r="K40" s="17">
        <v>0.12</v>
      </c>
      <c r="L40" s="17">
        <v>0.12</v>
      </c>
      <c r="M40" s="1" t="s">
        <v>50</v>
      </c>
    </row>
    <row r="41" spans="2:14">
      <c r="B41" s="9" t="s">
        <v>55</v>
      </c>
      <c r="C41" s="18"/>
      <c r="D41" s="18"/>
      <c r="E41" s="18"/>
      <c r="F41" s="18"/>
      <c r="H41" s="17">
        <v>0.24</v>
      </c>
      <c r="I41" s="17">
        <v>0.24</v>
      </c>
      <c r="J41" s="17">
        <v>0.24</v>
      </c>
      <c r="K41" s="17">
        <v>0.24</v>
      </c>
      <c r="L41" s="17">
        <v>0.24</v>
      </c>
      <c r="M41" s="1" t="s">
        <v>50</v>
      </c>
    </row>
    <row r="42" spans="2:14" ht="5.25" customHeight="1">
      <c r="C42" s="1"/>
      <c r="D42" s="1"/>
      <c r="E42" s="1"/>
      <c r="F42" s="1"/>
      <c r="H42" s="15"/>
      <c r="I42" s="15"/>
      <c r="J42" s="15"/>
      <c r="K42" s="15"/>
      <c r="L42" s="15"/>
      <c r="M42" s="1" t="s">
        <v>50</v>
      </c>
    </row>
    <row r="43" spans="2:14">
      <c r="B43" s="9" t="s">
        <v>67</v>
      </c>
      <c r="C43" s="61">
        <v>0</v>
      </c>
      <c r="D43" s="61">
        <v>0</v>
      </c>
      <c r="E43" s="61">
        <v>0</v>
      </c>
      <c r="F43" s="61">
        <v>0</v>
      </c>
      <c r="H43" s="82">
        <f>H44*H5</f>
        <v>0</v>
      </c>
      <c r="I43" s="82">
        <f>I44*I5</f>
        <v>0</v>
      </c>
      <c r="J43" s="82">
        <f>J44*J5</f>
        <v>0</v>
      </c>
      <c r="K43" s="82">
        <f>K44*K5</f>
        <v>0</v>
      </c>
      <c r="L43" s="82">
        <f>L44*L5</f>
        <v>0</v>
      </c>
      <c r="M43" s="1" t="s">
        <v>50</v>
      </c>
      <c r="N43" s="1" t="s">
        <v>68</v>
      </c>
    </row>
    <row r="44" spans="2:14">
      <c r="B44" s="9" t="s">
        <v>60</v>
      </c>
      <c r="C44" s="16" t="e">
        <f>C43/#REF!</f>
        <v>#REF!</v>
      </c>
      <c r="D44" s="16" t="e">
        <f>D43/#REF!</f>
        <v>#REF!</v>
      </c>
      <c r="E44" s="16" t="e">
        <f>E43/#REF!</f>
        <v>#REF!</v>
      </c>
      <c r="F44" s="16" t="e">
        <f>F43/#REF!</f>
        <v>#REF!</v>
      </c>
      <c r="H44" s="17">
        <f>CHOOSE(DCF!$N$4,H45,H46,H47)</f>
        <v>0</v>
      </c>
      <c r="I44" s="17">
        <f>CHOOSE(DCF!$N$4,I45,I46,I47)</f>
        <v>0</v>
      </c>
      <c r="J44" s="17">
        <f>CHOOSE(DCF!$N$4,J45,J46,J47)</f>
        <v>0</v>
      </c>
      <c r="K44" s="17">
        <f>CHOOSE(DCF!$N$4,K45,K46,K47)</f>
        <v>0</v>
      </c>
      <c r="L44" s="17">
        <f>CHOOSE(DCF!$N$4,L45,L46,L47)</f>
        <v>0</v>
      </c>
      <c r="M44" s="1" t="s">
        <v>50</v>
      </c>
    </row>
    <row r="45" spans="2:14">
      <c r="B45" s="9" t="s">
        <v>53</v>
      </c>
      <c r="C45" s="18"/>
      <c r="D45" s="18"/>
      <c r="E45" s="18"/>
      <c r="F45" s="18"/>
      <c r="H45" s="17">
        <v>0</v>
      </c>
      <c r="I45" s="17">
        <v>0</v>
      </c>
      <c r="J45" s="17">
        <v>0</v>
      </c>
      <c r="K45" s="17">
        <v>0</v>
      </c>
      <c r="L45" s="17">
        <v>0</v>
      </c>
      <c r="M45" s="1" t="s">
        <v>50</v>
      </c>
    </row>
    <row r="46" spans="2:14">
      <c r="B46" s="9" t="s">
        <v>54</v>
      </c>
      <c r="C46" s="18"/>
      <c r="D46" s="18"/>
      <c r="E46" s="18"/>
      <c r="F46" s="18"/>
      <c r="H46" s="17">
        <v>0</v>
      </c>
      <c r="I46" s="17">
        <v>0</v>
      </c>
      <c r="J46" s="17">
        <v>0</v>
      </c>
      <c r="K46" s="17">
        <v>0</v>
      </c>
      <c r="L46" s="17">
        <v>0</v>
      </c>
      <c r="M46" s="1" t="s">
        <v>50</v>
      </c>
    </row>
    <row r="47" spans="2:14">
      <c r="B47" s="9" t="s">
        <v>55</v>
      </c>
      <c r="C47" s="18"/>
      <c r="D47" s="18"/>
      <c r="E47" s="18"/>
      <c r="F47" s="18"/>
      <c r="H47" s="17">
        <v>0</v>
      </c>
      <c r="I47" s="17">
        <v>0</v>
      </c>
      <c r="J47" s="17">
        <v>0</v>
      </c>
      <c r="K47" s="17">
        <v>0</v>
      </c>
      <c r="L47" s="17">
        <v>0</v>
      </c>
      <c r="M47" s="1" t="s">
        <v>50</v>
      </c>
    </row>
    <row r="48" spans="2:14" ht="5.25" customHeight="1">
      <c r="C48" s="1"/>
      <c r="D48" s="1"/>
      <c r="E48" s="1"/>
      <c r="F48" s="1"/>
      <c r="H48" s="15"/>
      <c r="I48" s="15"/>
      <c r="J48" s="15"/>
      <c r="K48" s="15"/>
      <c r="L48" s="15"/>
      <c r="M48" s="1" t="s">
        <v>50</v>
      </c>
    </row>
    <row r="49" spans="2:13">
      <c r="B49" s="9" t="s">
        <v>18</v>
      </c>
      <c r="C49" s="128">
        <f>DATA!D8*1000</f>
        <v>2142</v>
      </c>
      <c r="D49" s="129">
        <f>DATA!E8*1000</f>
        <v>1727</v>
      </c>
      <c r="E49" s="129">
        <f>DATA!F8*1000</f>
        <v>2262</v>
      </c>
      <c r="F49" s="129">
        <f>DATA!G8*1000</f>
        <v>2320</v>
      </c>
      <c r="H49" s="82">
        <f>F49*(1+F50)</f>
        <v>2335.8819710829152</v>
      </c>
      <c r="I49" s="82">
        <f>H49*(1+H50)</f>
        <v>2359.2407907937445</v>
      </c>
      <c r="J49" s="82">
        <f t="shared" ref="J49:L49" si="11">I49*(1+I50)</f>
        <v>2382.8331987016818</v>
      </c>
      <c r="K49" s="82">
        <f t="shared" si="11"/>
        <v>2406.6615306886988</v>
      </c>
      <c r="L49" s="82">
        <f t="shared" si="11"/>
        <v>2430.7281459955857</v>
      </c>
      <c r="M49" s="1" t="s">
        <v>50</v>
      </c>
    </row>
    <row r="50" spans="2:13">
      <c r="B50" s="9" t="s">
        <v>19</v>
      </c>
      <c r="C50" s="19">
        <f>C49/(DATA!C44*1000)</f>
        <v>9.1343283582089544E-3</v>
      </c>
      <c r="D50" s="19">
        <f>D49/(DATA!D44*1000)</f>
        <v>7.7968397291196386E-3</v>
      </c>
      <c r="E50" s="19">
        <f>E49/(DATA!E44*1000)</f>
        <v>5.7748276742404904E-3</v>
      </c>
      <c r="F50" s="19">
        <f>F49/(DATA!F44*1000)</f>
        <v>6.845677190911773E-3</v>
      </c>
      <c r="H50" s="17">
        <f>CHOOSE(DCF!$N$4,H51,H52,H53)</f>
        <v>0.01</v>
      </c>
      <c r="I50" s="17">
        <f>CHOOSE(DCF!$N$4,I51,I52,I53)</f>
        <v>0.01</v>
      </c>
      <c r="J50" s="17">
        <f>CHOOSE(DCF!$N$4,J51,J52,J53)</f>
        <v>0.01</v>
      </c>
      <c r="K50" s="17">
        <f>CHOOSE(DCF!$N$4,K51,K52,K53)</f>
        <v>0.01</v>
      </c>
      <c r="L50" s="17">
        <f>CHOOSE(DCF!$N$4,L51,L52,L53)</f>
        <v>0.01</v>
      </c>
      <c r="M50" s="1" t="s">
        <v>50</v>
      </c>
    </row>
    <row r="51" spans="2:13">
      <c r="B51" s="9" t="s">
        <v>53</v>
      </c>
      <c r="C51" s="18"/>
      <c r="D51" s="18"/>
      <c r="E51" s="18"/>
      <c r="F51" s="18"/>
      <c r="H51" s="17">
        <v>0.01</v>
      </c>
      <c r="I51" s="17">
        <v>0.01</v>
      </c>
      <c r="J51" s="17">
        <v>0.01</v>
      </c>
      <c r="K51" s="17">
        <v>0.01</v>
      </c>
      <c r="L51" s="17">
        <v>0.01</v>
      </c>
      <c r="M51" s="1" t="s">
        <v>50</v>
      </c>
    </row>
    <row r="52" spans="2:13">
      <c r="B52" s="9" t="s">
        <v>54</v>
      </c>
      <c r="C52" s="18"/>
      <c r="D52" s="18"/>
      <c r="E52" s="18"/>
      <c r="F52" s="18"/>
      <c r="H52" s="17">
        <v>0.01</v>
      </c>
      <c r="I52" s="17">
        <v>0.01</v>
      </c>
      <c r="J52" s="17">
        <v>0.01</v>
      </c>
      <c r="K52" s="17">
        <v>0.01</v>
      </c>
      <c r="L52" s="17">
        <v>0.01</v>
      </c>
      <c r="M52" s="1" t="s">
        <v>50</v>
      </c>
    </row>
    <row r="53" spans="2:13">
      <c r="B53" s="9" t="s">
        <v>55</v>
      </c>
      <c r="C53" s="18"/>
      <c r="D53" s="18"/>
      <c r="E53" s="18"/>
      <c r="F53" s="18"/>
      <c r="H53" s="17">
        <v>0.01</v>
      </c>
      <c r="I53" s="17">
        <v>0.01</v>
      </c>
      <c r="J53" s="17">
        <v>0.01</v>
      </c>
      <c r="K53" s="17">
        <v>0.01</v>
      </c>
      <c r="L53" s="17">
        <v>0.01</v>
      </c>
      <c r="M53" s="1"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4BFA3-A556-493A-BA08-62169EA6AAA8}">
  <dimension ref="B1:V78"/>
  <sheetViews>
    <sheetView workbookViewId="0">
      <selection activeCell="U14" sqref="U14"/>
    </sheetView>
  </sheetViews>
  <sheetFormatPr defaultColWidth="8.42578125" defaultRowHeight="15"/>
  <cols>
    <col min="1" max="1" width="2.42578125" style="1" customWidth="1"/>
    <col min="2" max="2" width="20.42578125" style="1" customWidth="1"/>
    <col min="3" max="3" width="9.7109375" style="1" bestFit="1" customWidth="1"/>
    <col min="4" max="4" width="8.42578125" style="1" customWidth="1"/>
    <col min="5" max="7" width="8.42578125" style="1"/>
    <col min="8" max="8" width="2" style="1" customWidth="1"/>
    <col min="9" max="16384" width="8.42578125" style="1"/>
  </cols>
  <sheetData>
    <row r="1" spans="2:20" ht="15.95">
      <c r="B1" s="8" t="s">
        <v>69</v>
      </c>
      <c r="C1" s="8"/>
      <c r="D1" s="8"/>
      <c r="E1" s="9"/>
      <c r="F1" s="9"/>
      <c r="G1" s="9"/>
      <c r="H1" s="9"/>
      <c r="I1" s="9"/>
      <c r="J1" s="9"/>
      <c r="K1" s="9"/>
      <c r="L1" s="9"/>
      <c r="M1" s="9"/>
      <c r="N1" s="9"/>
      <c r="O1" s="9"/>
      <c r="P1" s="9"/>
      <c r="Q1" s="9"/>
      <c r="R1" s="9"/>
      <c r="S1" s="9"/>
      <c r="T1" s="9"/>
    </row>
    <row r="2" spans="2:20">
      <c r="B2" s="9"/>
      <c r="C2" s="9"/>
      <c r="D2" s="9"/>
      <c r="E2" s="9"/>
      <c r="F2" s="9"/>
      <c r="G2" s="9"/>
      <c r="H2" s="9"/>
      <c r="I2" s="9"/>
      <c r="J2" s="9"/>
      <c r="K2" s="9"/>
      <c r="L2" s="9"/>
      <c r="M2" s="9"/>
      <c r="N2" s="9"/>
      <c r="O2" s="9"/>
      <c r="P2" s="9"/>
      <c r="Q2" s="9"/>
      <c r="R2" s="9"/>
      <c r="S2" s="9"/>
      <c r="T2" s="9"/>
    </row>
    <row r="3" spans="2:20">
      <c r="B3" s="9"/>
      <c r="C3" s="9"/>
      <c r="D3" s="9"/>
      <c r="E3" s="9"/>
      <c r="F3" s="9"/>
      <c r="G3" s="9"/>
      <c r="H3" s="9"/>
      <c r="I3" s="9"/>
      <c r="J3" s="9"/>
      <c r="K3" s="9"/>
      <c r="L3" s="9"/>
      <c r="M3" s="9"/>
      <c r="N3" s="9"/>
      <c r="O3" s="59"/>
      <c r="P3" s="9"/>
      <c r="Q3" s="9"/>
      <c r="R3" s="9"/>
      <c r="S3" s="9"/>
      <c r="T3" s="9"/>
    </row>
    <row r="4" spans="2:20" ht="27.95" thickBot="1">
      <c r="B4" s="10" t="s">
        <v>38</v>
      </c>
      <c r="C4" s="11" t="s">
        <v>70</v>
      </c>
      <c r="D4" s="11" t="s">
        <v>71</v>
      </c>
      <c r="E4" s="11" t="s">
        <v>40</v>
      </c>
      <c r="F4" s="11" t="s">
        <v>41</v>
      </c>
      <c r="G4" s="11" t="s">
        <v>42</v>
      </c>
      <c r="H4" s="12"/>
      <c r="I4" s="13" t="s">
        <v>72</v>
      </c>
      <c r="J4" s="13" t="s">
        <v>73</v>
      </c>
      <c r="K4" s="13" t="s">
        <v>43</v>
      </c>
      <c r="L4" s="13" t="s">
        <v>44</v>
      </c>
      <c r="M4" s="13" t="s">
        <v>45</v>
      </c>
      <c r="N4" s="9"/>
      <c r="O4" s="9"/>
      <c r="P4" s="9"/>
      <c r="Q4" s="9"/>
      <c r="R4" s="9"/>
      <c r="S4" s="9"/>
      <c r="T4" s="9"/>
    </row>
    <row r="5" spans="2:20">
      <c r="B5" s="9" t="s">
        <v>74</v>
      </c>
      <c r="C5" s="9">
        <f>DATA!C24</f>
        <v>0.109</v>
      </c>
      <c r="D5" s="9">
        <f>DATA!D24</f>
        <v>0.111</v>
      </c>
      <c r="E5" s="9">
        <f>DATA!E24</f>
        <v>0.20200000000000001</v>
      </c>
      <c r="F5" s="9">
        <f>DATA!F24</f>
        <v>0.2</v>
      </c>
      <c r="G5" s="9">
        <f>DATA!G24</f>
        <v>0.111</v>
      </c>
      <c r="H5" s="9"/>
      <c r="I5" s="15">
        <f>I6*'P&amp;L Assumptions'!H5/360</f>
        <v>113.77500000000001</v>
      </c>
      <c r="J5" s="15">
        <f>J6*'P&amp;L Assumptions'!I5/360</f>
        <v>116.61937499999999</v>
      </c>
      <c r="K5" s="15">
        <f>K6*'P&amp;L Assumptions'!J5/360</f>
        <v>119.53485937499998</v>
      </c>
      <c r="L5" s="15">
        <f>L6*'P&amp;L Assumptions'!K5/360</f>
        <v>122.52323085937496</v>
      </c>
      <c r="M5" s="15">
        <f>M6*'P&amp;L Assumptions'!L5/360</f>
        <v>125.58631163085934</v>
      </c>
      <c r="N5" s="9"/>
      <c r="O5" s="9"/>
      <c r="P5" s="9"/>
      <c r="Q5" s="9"/>
      <c r="R5" s="9"/>
      <c r="S5" s="9"/>
      <c r="T5" s="9"/>
    </row>
    <row r="6" spans="2:20">
      <c r="B6" s="20" t="s">
        <v>75</v>
      </c>
      <c r="C6" s="89">
        <f>(C5/DATA!C4)*360</f>
        <v>0.55760813960097766</v>
      </c>
      <c r="D6" s="89">
        <f>(D5/DATA!D4)*360</f>
        <v>0.50280594911543397</v>
      </c>
      <c r="E6" s="89">
        <f>(E5/DATA!E4)*(360)</f>
        <v>0.84174460598203549</v>
      </c>
      <c r="F6" s="89">
        <f>(F5/DATA!F4)*(360)</f>
        <v>0.78713472029386367</v>
      </c>
      <c r="G6" s="89">
        <f>(G5/DATA!G4)*(360)</f>
        <v>0.43503821281599064</v>
      </c>
      <c r="H6" s="9"/>
      <c r="I6" s="21">
        <f>$G$6</f>
        <v>0.43503821281599064</v>
      </c>
      <c r="J6" s="21">
        <f t="shared" ref="J6:M6" si="0">$G$6</f>
        <v>0.43503821281599064</v>
      </c>
      <c r="K6" s="21">
        <f t="shared" si="0"/>
        <v>0.43503821281599064</v>
      </c>
      <c r="L6" s="21">
        <f t="shared" si="0"/>
        <v>0.43503821281599064</v>
      </c>
      <c r="M6" s="21">
        <f t="shared" si="0"/>
        <v>0.43503821281599064</v>
      </c>
      <c r="N6"/>
      <c r="O6" s="9"/>
      <c r="P6" s="9"/>
      <c r="Q6" s="9"/>
      <c r="R6" s="9"/>
      <c r="S6" s="9"/>
      <c r="T6" s="9"/>
    </row>
    <row r="7" spans="2:20" ht="3" customHeight="1">
      <c r="B7" s="9"/>
      <c r="C7" s="9"/>
      <c r="D7" s="9"/>
      <c r="E7" s="14"/>
      <c r="F7" s="14"/>
      <c r="G7" s="14"/>
      <c r="H7" s="9"/>
      <c r="I7" s="22"/>
      <c r="J7" s="22"/>
      <c r="K7" s="22"/>
      <c r="L7" s="22"/>
      <c r="M7" s="22"/>
      <c r="N7" s="9"/>
      <c r="P7" s="9"/>
      <c r="Q7" s="9"/>
      <c r="R7" s="9"/>
      <c r="S7" s="9"/>
      <c r="T7" s="9"/>
    </row>
    <row r="8" spans="2:20">
      <c r="B8" s="9" t="s">
        <v>76</v>
      </c>
      <c r="C8" s="9">
        <f>DATA!C25</f>
        <v>4.1719999999999997</v>
      </c>
      <c r="D8" s="9">
        <f>DATA!D25</f>
        <v>4.3470000000000004</v>
      </c>
      <c r="E8" s="14">
        <f>DATA!E25</f>
        <v>5.2220000000000004</v>
      </c>
      <c r="F8" s="14">
        <f>DATA!F25</f>
        <v>5.3339999999999996</v>
      </c>
      <c r="G8" s="14">
        <f>DATA!G25</f>
        <v>5.306</v>
      </c>
      <c r="H8" s="9"/>
      <c r="I8" s="15">
        <f>I9*'P&amp;L Assumptions'!H17/360</f>
        <v>5744.2900394787266</v>
      </c>
      <c r="J8" s="15">
        <f>J9*'P&amp;L Assumptions'!I17/360</f>
        <v>5887.8972904656948</v>
      </c>
      <c r="K8" s="15">
        <f>K9*'P&amp;L Assumptions'!J17/360</f>
        <v>6035.0947227273355</v>
      </c>
      <c r="L8" s="15">
        <f>L9*'P&amp;L Assumptions'!K17/360</f>
        <v>6185.9720907955189</v>
      </c>
      <c r="M8" s="15">
        <f>M9*'P&amp;L Assumptions'!L17/360</f>
        <v>6340.6213930654067</v>
      </c>
      <c r="N8" s="9"/>
      <c r="O8" s="9"/>
      <c r="P8" s="9"/>
      <c r="Q8" s="9"/>
      <c r="R8" s="9"/>
      <c r="S8" s="9"/>
      <c r="T8" s="9"/>
    </row>
    <row r="9" spans="2:20">
      <c r="B9" s="20" t="s">
        <v>77</v>
      </c>
      <c r="C9" s="20">
        <f>(C8/DATA!C5)*(360)</f>
        <v>47.234644777809223</v>
      </c>
      <c r="D9" s="20">
        <f>(D8/DATA!D5)*(360)</f>
        <v>42.209575185434929</v>
      </c>
      <c r="E9" s="20">
        <f>(E8/DATA!E5)*(360)</f>
        <v>46.330835962145116</v>
      </c>
      <c r="F9" s="20">
        <f>(F8/DATA!F5)*(360)</f>
        <v>45.849908072873134</v>
      </c>
      <c r="G9" s="20">
        <f>(G8/DATA!G5)*(360)</f>
        <v>45.758911460329628</v>
      </c>
      <c r="H9" s="9"/>
      <c r="I9" s="21">
        <f>$G$9</f>
        <v>45.758911460329628</v>
      </c>
      <c r="J9" s="21">
        <f t="shared" ref="J9:M9" si="1">$G$9</f>
        <v>45.758911460329628</v>
      </c>
      <c r="K9" s="21">
        <f t="shared" si="1"/>
        <v>45.758911460329628</v>
      </c>
      <c r="L9" s="21">
        <f t="shared" si="1"/>
        <v>45.758911460329628</v>
      </c>
      <c r="M9" s="21">
        <f t="shared" si="1"/>
        <v>45.758911460329628</v>
      </c>
      <c r="N9" s="9"/>
      <c r="O9" s="9"/>
      <c r="P9" s="115"/>
      <c r="Q9" s="115"/>
      <c r="R9" s="115"/>
      <c r="S9" s="9"/>
      <c r="T9" s="9"/>
    </row>
    <row r="10" spans="2:20" ht="3" customHeight="1">
      <c r="B10" s="9"/>
      <c r="C10" s="9"/>
      <c r="D10" s="9"/>
      <c r="E10" s="14"/>
      <c r="F10" s="14"/>
      <c r="G10" s="14"/>
      <c r="H10" s="9"/>
      <c r="I10" s="22"/>
      <c r="J10" s="22"/>
      <c r="K10" s="22"/>
      <c r="L10" s="22"/>
      <c r="M10" s="22"/>
      <c r="N10" s="9"/>
      <c r="O10" s="9"/>
      <c r="P10" s="9"/>
      <c r="Q10" s="14"/>
      <c r="R10" s="14"/>
      <c r="S10" s="9"/>
      <c r="T10" s="9"/>
    </row>
    <row r="11" spans="2:20">
      <c r="B11" s="9" t="s">
        <v>78</v>
      </c>
      <c r="C11" s="9">
        <f>DATA!C23</f>
        <v>13.218</v>
      </c>
      <c r="D11" s="9">
        <f>DATA!D23</f>
        <v>14.429</v>
      </c>
      <c r="E11" s="14">
        <f>DATA!E23</f>
        <v>15.978999999999999</v>
      </c>
      <c r="F11" s="14">
        <f>DATA!F23</f>
        <v>16.925000000000001</v>
      </c>
      <c r="G11" s="14">
        <f>DATA!G23</f>
        <v>16.34</v>
      </c>
      <c r="H11" s="9"/>
      <c r="I11" s="15">
        <f>I12*'P&amp;L Assumptions'!H17/360</f>
        <v>17689.728466845532</v>
      </c>
      <c r="J11" s="15">
        <f>J12*'P&amp;L Assumptions'!I17/360</f>
        <v>18131.971678516671</v>
      </c>
      <c r="K11" s="15">
        <f>K12*'P&amp;L Assumptions'!J17/360</f>
        <v>18585.270970479582</v>
      </c>
      <c r="L11" s="15">
        <f>L12*'P&amp;L Assumptions'!K17/360</f>
        <v>19049.902744741572</v>
      </c>
      <c r="M11" s="15">
        <f>M12*'P&amp;L Assumptions'!L17/360</f>
        <v>19526.150313360111</v>
      </c>
      <c r="N11" s="9"/>
      <c r="O11" s="9"/>
      <c r="P11" s="9"/>
      <c r="Q11" s="9"/>
      <c r="R11" s="9"/>
      <c r="S11" s="9"/>
      <c r="T11" s="9"/>
    </row>
    <row r="12" spans="2:20">
      <c r="B12" s="20" t="s">
        <v>79</v>
      </c>
      <c r="C12" s="20">
        <f>(C11/DATA!C5)*(360)</f>
        <v>149.65185394848569</v>
      </c>
      <c r="D12" s="20">
        <f>(D11/DATA!D5)*(360)</f>
        <v>140.10627107215103</v>
      </c>
      <c r="E12" s="20">
        <f>(E11/DATA!E5)*(360)</f>
        <v>141.76951892744481</v>
      </c>
      <c r="F12" s="20">
        <f>(F11/DATA!F5)*(360)</f>
        <v>145.48363219598389</v>
      </c>
      <c r="G12" s="20">
        <f>(G11/DATA!G5)*(360)</f>
        <v>140.91605979302415</v>
      </c>
      <c r="H12" s="9"/>
      <c r="I12" s="21">
        <f>$G$12</f>
        <v>140.91605979302415</v>
      </c>
      <c r="J12" s="21">
        <f t="shared" ref="J12:M12" si="2">$G$12</f>
        <v>140.91605979302415</v>
      </c>
      <c r="K12" s="21">
        <f t="shared" si="2"/>
        <v>140.91605979302415</v>
      </c>
      <c r="L12" s="21">
        <f t="shared" si="2"/>
        <v>140.91605979302415</v>
      </c>
      <c r="M12" s="21">
        <f t="shared" si="2"/>
        <v>140.91605979302415</v>
      </c>
      <c r="N12" s="9"/>
      <c r="O12" s="9"/>
      <c r="P12" s="9"/>
      <c r="Q12" s="9"/>
      <c r="R12" s="9"/>
      <c r="S12" s="9"/>
      <c r="T12" s="9"/>
    </row>
    <row r="13" spans="2:20" ht="3" customHeight="1">
      <c r="B13" s="9"/>
      <c r="C13" s="9"/>
      <c r="D13" s="9"/>
      <c r="E13" s="14"/>
      <c r="F13" s="14"/>
      <c r="G13" s="14"/>
      <c r="H13" s="9"/>
      <c r="I13" s="22"/>
      <c r="J13" s="22"/>
      <c r="K13" s="22"/>
      <c r="L13" s="22"/>
      <c r="M13" s="22"/>
      <c r="N13" s="9"/>
      <c r="O13" s="9"/>
      <c r="P13" s="9"/>
      <c r="Q13" s="9"/>
      <c r="R13" s="9"/>
      <c r="S13" s="9"/>
      <c r="T13" s="9"/>
    </row>
    <row r="14" spans="2:20" ht="14.45" customHeight="1">
      <c r="B14" s="118" t="s">
        <v>80</v>
      </c>
      <c r="C14" s="119">
        <f>C6+C9-C12</f>
        <v>-101.8596010310755</v>
      </c>
      <c r="D14" s="119">
        <f>D6+D9-D12</f>
        <v>-97.393889937600676</v>
      </c>
      <c r="E14" s="119">
        <f>E6+E9-E12</f>
        <v>-94.596938359317647</v>
      </c>
      <c r="F14" s="119">
        <f>F6+F9-F12</f>
        <v>-98.846589402816889</v>
      </c>
      <c r="G14" s="119">
        <f>G6+G9-G12</f>
        <v>-94.722110119878522</v>
      </c>
      <c r="H14" s="120"/>
      <c r="I14" s="119">
        <f>I6+I9-I12</f>
        <v>-94.722110119878522</v>
      </c>
      <c r="J14" s="119">
        <f>J6+J9-J12</f>
        <v>-94.722110119878522</v>
      </c>
      <c r="K14" s="119">
        <f>K6+K9-K12</f>
        <v>-94.722110119878522</v>
      </c>
      <c r="L14" s="119">
        <f>L6+L9-L12</f>
        <v>-94.722110119878522</v>
      </c>
      <c r="M14" s="119">
        <f>M6+M9-M12</f>
        <v>-94.722110119878522</v>
      </c>
      <c r="N14" s="9"/>
      <c r="O14" s="9"/>
      <c r="P14" s="9"/>
      <c r="Q14" s="9"/>
      <c r="R14" s="9"/>
      <c r="S14" s="9"/>
      <c r="T14" s="9"/>
    </row>
    <row r="15" spans="2:20" ht="14.45" customHeight="1">
      <c r="N15" s="9"/>
      <c r="O15" s="16"/>
      <c r="P15" s="16"/>
      <c r="Q15" s="16"/>
      <c r="R15" s="16"/>
      <c r="S15" s="9"/>
      <c r="T15" s="9"/>
    </row>
    <row r="16" spans="2:20" ht="3" customHeight="1">
      <c r="N16" s="9"/>
      <c r="P16" s="9"/>
      <c r="Q16" s="9"/>
      <c r="R16" s="9"/>
      <c r="S16" s="9"/>
      <c r="T16" s="9"/>
    </row>
    <row r="17" spans="2:20">
      <c r="B17" s="9" t="s">
        <v>22</v>
      </c>
      <c r="C17" s="9">
        <f>DATA!C36</f>
        <v>-11.619</v>
      </c>
      <c r="D17" s="9">
        <f>DATA!D36</f>
        <v>-3.2690000000000001</v>
      </c>
      <c r="E17" s="9">
        <f>DATA!E36</f>
        <v>-2.4300000000000002</v>
      </c>
      <c r="F17" s="9">
        <f>DATA!F36</f>
        <v>-5.4950000000000001</v>
      </c>
      <c r="G17" s="9">
        <f>DATA!G36</f>
        <v>-5.4720000000000004</v>
      </c>
      <c r="H17" s="9"/>
      <c r="I17" s="15">
        <f>$I$18*'P&amp;L Assumptions'!H5</f>
        <v>-5649.0209999999988</v>
      </c>
      <c r="J17" s="15">
        <f>J18*'P&amp;L Assumptions'!I5</f>
        <v>-5790.2465249999987</v>
      </c>
      <c r="K17" s="15">
        <f>K18*'P&amp;L Assumptions'!J5</f>
        <v>-5935.0026881249978</v>
      </c>
      <c r="L17" s="15">
        <f>L18*'P&amp;L Assumptions'!K5</f>
        <v>-6083.3777553281225</v>
      </c>
      <c r="M17" s="15">
        <f>M18*'P&amp;L Assumptions'!L5</f>
        <v>-6235.4621992113252</v>
      </c>
      <c r="N17" s="9"/>
      <c r="O17" s="9"/>
      <c r="P17" s="9"/>
      <c r="Q17" s="9"/>
      <c r="R17" s="9"/>
      <c r="S17" s="9"/>
      <c r="T17" s="9"/>
    </row>
    <row r="18" spans="2:20">
      <c r="B18" s="20" t="s">
        <v>17</v>
      </c>
      <c r="C18" s="23">
        <f>C17/DATA!C4</f>
        <v>-0.16510828170295003</v>
      </c>
      <c r="D18" s="23">
        <f>D17/DATA!D4</f>
        <v>-4.1132949140599444E-2</v>
      </c>
      <c r="E18" s="23">
        <f>E17/DATA!E4</f>
        <v>-2.8127604407815542E-2</v>
      </c>
      <c r="F18" s="23">
        <f>F17/DATA!F4</f>
        <v>-6.0073684555760842E-2</v>
      </c>
      <c r="G18" s="23">
        <f>G17/DATA!G4</f>
        <v>-5.9572800313541056E-2</v>
      </c>
      <c r="H18" s="9"/>
      <c r="I18" s="24">
        <f>CHOOSE(DCF!$N$4,'BS and Working Capital Analysis'!I19,'BS and Working Capital Analysis'!I20,'BS and Working Capital Analysis'!I21)</f>
        <v>-0.06</v>
      </c>
      <c r="J18" s="24">
        <f>CHOOSE(DCF!$N$4,'BS and Working Capital Analysis'!J19,'BS and Working Capital Analysis'!J20,'BS and Working Capital Analysis'!J21)</f>
        <v>-0.06</v>
      </c>
      <c r="K18" s="24">
        <f>CHOOSE(DCF!$N$4,'BS and Working Capital Analysis'!K19,'BS and Working Capital Analysis'!K20,'BS and Working Capital Analysis'!K21)</f>
        <v>-0.06</v>
      </c>
      <c r="L18" s="24">
        <f>CHOOSE(DCF!$N$4,'BS and Working Capital Analysis'!L19,'BS and Working Capital Analysis'!L20,'BS and Working Capital Analysis'!L21)</f>
        <v>-0.06</v>
      </c>
      <c r="M18" s="24">
        <f>CHOOSE(DCF!$N$4,'BS and Working Capital Analysis'!M19,'BS and Working Capital Analysis'!M20,'BS and Working Capital Analysis'!M21)</f>
        <v>-0.06</v>
      </c>
      <c r="N18" s="9"/>
      <c r="O18" s="9"/>
      <c r="P18" s="9"/>
      <c r="Q18" s="9"/>
      <c r="R18" s="9"/>
      <c r="S18" s="9"/>
      <c r="T18" s="9"/>
    </row>
    <row r="19" spans="2:20">
      <c r="B19" s="9" t="s">
        <v>53</v>
      </c>
      <c r="C19" s="18"/>
      <c r="D19" s="18"/>
      <c r="E19" s="93"/>
      <c r="F19" s="93"/>
      <c r="G19" s="93"/>
      <c r="H19" s="9"/>
      <c r="I19" s="121">
        <v>-0.03</v>
      </c>
      <c r="J19" s="121">
        <v>-0.03</v>
      </c>
      <c r="K19" s="121">
        <v>-0.03</v>
      </c>
      <c r="L19" s="121">
        <v>-0.03</v>
      </c>
      <c r="M19" s="121">
        <v>-0.03</v>
      </c>
      <c r="N19" s="9"/>
      <c r="O19" s="9"/>
      <c r="P19" s="9"/>
      <c r="Q19" s="9"/>
      <c r="R19" s="9"/>
      <c r="S19" s="9"/>
      <c r="T19" s="9"/>
    </row>
    <row r="20" spans="2:20" ht="14.45" customHeight="1">
      <c r="B20" s="9" t="s">
        <v>54</v>
      </c>
      <c r="C20" s="94"/>
      <c r="D20" s="94"/>
      <c r="E20" s="95"/>
      <c r="F20" s="95"/>
      <c r="G20" s="95"/>
      <c r="H20" s="9"/>
      <c r="I20" s="121">
        <v>-0.06</v>
      </c>
      <c r="J20" s="121">
        <v>-0.06</v>
      </c>
      <c r="K20" s="121">
        <v>-0.06</v>
      </c>
      <c r="L20" s="121">
        <v>-0.06</v>
      </c>
      <c r="M20" s="121">
        <v>-0.06</v>
      </c>
      <c r="N20" s="9"/>
      <c r="O20" s="9"/>
      <c r="P20" s="9"/>
      <c r="Q20" s="9"/>
      <c r="R20" s="9"/>
      <c r="S20" s="9"/>
      <c r="T20" s="9"/>
    </row>
    <row r="21" spans="2:20">
      <c r="B21" s="9" t="s">
        <v>55</v>
      </c>
      <c r="C21" s="96"/>
      <c r="D21" s="96"/>
      <c r="E21" s="96"/>
      <c r="F21" s="96"/>
      <c r="G21" s="96"/>
      <c r="I21" s="121">
        <v>-0.09</v>
      </c>
      <c r="J21" s="121">
        <v>-0.09</v>
      </c>
      <c r="K21" s="121">
        <v>-0.09</v>
      </c>
      <c r="L21" s="121">
        <v>-0.09</v>
      </c>
      <c r="M21" s="121">
        <v>-0.09</v>
      </c>
      <c r="N21" s="9"/>
      <c r="O21" s="9"/>
      <c r="P21" s="9"/>
      <c r="Q21" s="9"/>
      <c r="R21" s="9"/>
      <c r="S21" s="9"/>
      <c r="T21" s="9"/>
    </row>
    <row r="22" spans="2:20">
      <c r="B22" s="20"/>
      <c r="C22" s="115"/>
      <c r="D22" s="115"/>
      <c r="E22" s="115"/>
      <c r="F22" s="115"/>
      <c r="G22" s="115"/>
      <c r="H22" s="9"/>
      <c r="I22" s="23"/>
      <c r="J22" s="23"/>
      <c r="K22" s="23"/>
      <c r="L22" s="23"/>
      <c r="M22" s="23"/>
      <c r="N22" s="9"/>
      <c r="O22" s="9"/>
      <c r="P22" s="9"/>
      <c r="Q22" s="9"/>
      <c r="R22" s="9"/>
      <c r="S22" s="9"/>
      <c r="T22" s="9"/>
    </row>
    <row r="23" spans="2:20" ht="3" customHeight="1">
      <c r="B23" s="20"/>
      <c r="C23" s="23"/>
      <c r="D23" s="23"/>
      <c r="E23" s="23"/>
      <c r="F23" s="23"/>
      <c r="G23" s="23"/>
      <c r="H23" s="9"/>
      <c r="I23" s="116"/>
      <c r="J23" s="116"/>
      <c r="K23" s="116"/>
      <c r="L23" s="116"/>
      <c r="M23" s="116"/>
      <c r="N23" s="9"/>
      <c r="O23" s="9"/>
      <c r="P23" s="9"/>
      <c r="Q23" s="9"/>
      <c r="R23" s="9"/>
      <c r="S23" s="9"/>
      <c r="T23" s="9"/>
    </row>
    <row r="24" spans="2:20">
      <c r="O24" s="9"/>
      <c r="P24" s="9"/>
      <c r="Q24" s="9"/>
      <c r="R24" s="9"/>
      <c r="S24" s="9"/>
      <c r="T24" s="9"/>
    </row>
    <row r="25" spans="2:20">
      <c r="O25" s="9"/>
      <c r="P25" s="9"/>
      <c r="Q25" s="9"/>
      <c r="R25" s="9"/>
      <c r="S25" s="9"/>
      <c r="T25" s="9"/>
    </row>
    <row r="26" spans="2:20" ht="3" customHeight="1">
      <c r="O26" s="9"/>
      <c r="P26" s="9"/>
      <c r="Q26" s="9"/>
      <c r="R26" s="9"/>
      <c r="S26" s="9"/>
      <c r="T26" s="9"/>
    </row>
    <row r="27" spans="2:20">
      <c r="O27" s="9"/>
      <c r="P27" s="9"/>
      <c r="Q27" s="9"/>
      <c r="R27" s="9"/>
      <c r="S27" s="9"/>
      <c r="T27" s="9"/>
    </row>
    <row r="28" spans="2:20" ht="3" customHeight="1">
      <c r="O28" s="9"/>
      <c r="P28" s="9"/>
      <c r="Q28" s="9"/>
      <c r="R28" s="9"/>
      <c r="S28" s="9"/>
      <c r="T28" s="9"/>
    </row>
    <row r="29" spans="2:20">
      <c r="O29" s="9"/>
      <c r="P29" s="9"/>
      <c r="Q29" s="9"/>
      <c r="R29" s="9"/>
      <c r="S29" s="9"/>
      <c r="T29" s="9"/>
    </row>
    <row r="30" spans="2:20">
      <c r="O30" s="9"/>
      <c r="P30" s="9"/>
      <c r="Q30" s="9"/>
      <c r="R30" s="9"/>
      <c r="S30" s="9"/>
      <c r="T30" s="9"/>
    </row>
    <row r="31" spans="2:20" ht="3" customHeight="1">
      <c r="B31" s="20"/>
      <c r="C31" s="23"/>
      <c r="D31" s="23"/>
      <c r="E31" s="23"/>
      <c r="F31" s="23"/>
      <c r="G31" s="23"/>
      <c r="H31" s="9"/>
      <c r="I31" s="116"/>
      <c r="J31" s="116"/>
      <c r="K31" s="116"/>
      <c r="L31" s="116"/>
      <c r="M31" s="116"/>
      <c r="N31" s="9"/>
      <c r="O31" s="9"/>
      <c r="P31" s="9"/>
      <c r="Q31" s="9"/>
      <c r="R31" s="9"/>
      <c r="S31" s="9"/>
      <c r="T31" s="9"/>
    </row>
    <row r="32" spans="2:20">
      <c r="B32" s="88"/>
      <c r="C32" s="9"/>
      <c r="D32" s="9"/>
      <c r="E32" s="9"/>
      <c r="F32" s="9"/>
      <c r="G32" s="9"/>
      <c r="H32" s="9"/>
      <c r="I32" s="14"/>
      <c r="J32" s="14"/>
      <c r="K32" s="14"/>
      <c r="L32" s="14"/>
      <c r="M32" s="14"/>
      <c r="N32" s="9"/>
      <c r="O32" s="9"/>
      <c r="P32" s="9"/>
      <c r="Q32" s="9"/>
      <c r="R32" s="9"/>
      <c r="S32" s="9"/>
      <c r="T32" s="9"/>
    </row>
    <row r="33" spans="2:22">
      <c r="B33" s="20"/>
      <c r="C33" s="23"/>
      <c r="D33" s="23"/>
      <c r="E33" s="23"/>
      <c r="F33" s="23"/>
      <c r="G33" s="23"/>
      <c r="H33" s="9"/>
      <c r="I33" s="23"/>
      <c r="J33" s="23"/>
      <c r="K33" s="23"/>
      <c r="L33" s="23"/>
      <c r="M33" s="23"/>
      <c r="N33" s="9"/>
      <c r="O33" s="9"/>
      <c r="P33" s="9"/>
      <c r="Q33" s="9"/>
      <c r="R33" s="9"/>
      <c r="S33" s="9"/>
      <c r="T33" s="9"/>
    </row>
    <row r="34" spans="2:22" ht="3" customHeight="1">
      <c r="B34" s="20"/>
      <c r="C34" s="23"/>
      <c r="D34" s="23"/>
      <c r="E34" s="23"/>
      <c r="F34" s="23"/>
      <c r="G34" s="23"/>
      <c r="H34" s="9"/>
      <c r="I34" s="23"/>
      <c r="J34" s="23"/>
      <c r="K34" s="23"/>
      <c r="L34" s="23"/>
      <c r="M34" s="23"/>
      <c r="N34" s="9"/>
      <c r="O34" s="9"/>
      <c r="P34" s="9"/>
      <c r="Q34" s="9"/>
      <c r="R34" s="9"/>
      <c r="S34" s="9"/>
      <c r="T34" s="9"/>
    </row>
    <row r="35" spans="2:22">
      <c r="B35" s="88"/>
      <c r="C35" s="9"/>
      <c r="D35" s="9"/>
      <c r="E35" s="9"/>
      <c r="F35" s="9"/>
      <c r="G35" s="9"/>
      <c r="H35" s="9"/>
      <c r="I35" s="14"/>
      <c r="J35" s="14"/>
      <c r="K35" s="14"/>
      <c r="L35" s="14"/>
      <c r="M35" s="14"/>
      <c r="N35" s="9"/>
      <c r="O35" s="9"/>
      <c r="P35" s="9"/>
      <c r="Q35" s="9"/>
      <c r="R35" s="9"/>
      <c r="S35" s="9"/>
      <c r="T35" s="9"/>
    </row>
    <row r="36" spans="2:22">
      <c r="B36" s="20"/>
      <c r="C36" s="115"/>
      <c r="D36" s="116"/>
      <c r="E36" s="116"/>
      <c r="F36" s="116"/>
      <c r="G36" s="116"/>
      <c r="H36" s="9"/>
      <c r="I36" s="23"/>
      <c r="J36" s="23"/>
      <c r="O36" s="9"/>
      <c r="P36" s="9"/>
      <c r="Q36" s="14"/>
      <c r="R36" s="14"/>
      <c r="S36" s="14"/>
      <c r="T36" s="14"/>
      <c r="U36" s="14"/>
      <c r="V36" s="9"/>
    </row>
    <row r="37" spans="2:22" ht="3" customHeight="1">
      <c r="I37" s="14"/>
      <c r="J37" s="14"/>
      <c r="O37" s="115"/>
      <c r="P37" s="9"/>
      <c r="Q37" s="116"/>
      <c r="R37" s="116"/>
      <c r="S37" s="116"/>
      <c r="T37" s="116"/>
      <c r="U37" s="116"/>
      <c r="V37" s="9"/>
    </row>
    <row r="38" spans="2:22" ht="3" customHeight="1">
      <c r="I38" s="14"/>
      <c r="J38" s="14"/>
      <c r="O38" s="14"/>
      <c r="P38" s="9"/>
      <c r="Q38" s="14"/>
      <c r="R38" s="14"/>
      <c r="S38" s="14"/>
      <c r="T38" s="14"/>
      <c r="U38" s="14"/>
      <c r="V38" s="9"/>
    </row>
    <row r="39" spans="2:22">
      <c r="B39" s="84"/>
      <c r="C39" s="113"/>
      <c r="D39" s="113"/>
      <c r="E39" s="113"/>
      <c r="F39" s="113"/>
      <c r="G39" s="113"/>
      <c r="H39" s="84"/>
      <c r="I39" s="113"/>
      <c r="J39" s="113"/>
      <c r="O39" s="9"/>
      <c r="P39" s="9"/>
      <c r="Q39" s="14"/>
      <c r="R39" s="14"/>
      <c r="S39" s="14"/>
      <c r="T39" s="14"/>
      <c r="U39" s="14"/>
      <c r="V39" s="9"/>
    </row>
    <row r="40" spans="2:22">
      <c r="B40" s="84"/>
      <c r="C40" s="113"/>
      <c r="D40" s="113"/>
      <c r="E40" s="113"/>
      <c r="F40" s="113"/>
      <c r="G40" s="113"/>
      <c r="H40" s="84"/>
      <c r="I40" s="113"/>
      <c r="J40" s="113"/>
      <c r="K40" s="113"/>
      <c r="L40" s="113"/>
      <c r="M40" s="113"/>
    </row>
    <row r="41" spans="2:22">
      <c r="B41" s="9"/>
      <c r="C41" s="9"/>
      <c r="D41" s="9"/>
      <c r="E41" s="9"/>
      <c r="F41" s="9"/>
      <c r="G41" s="9"/>
      <c r="H41" s="9"/>
      <c r="I41" s="14"/>
      <c r="J41" s="14"/>
      <c r="K41" s="14"/>
      <c r="L41" s="14"/>
      <c r="M41" s="14"/>
    </row>
    <row r="42" spans="2:22">
      <c r="J42" s="23"/>
      <c r="K42" s="23"/>
      <c r="L42" s="23"/>
      <c r="M42" s="23"/>
    </row>
    <row r="43" spans="2:22">
      <c r="J43" s="117"/>
      <c r="K43" s="117"/>
      <c r="L43" s="117"/>
      <c r="M43" s="117"/>
    </row>
    <row r="44" spans="2:22">
      <c r="J44" s="117"/>
      <c r="K44" s="117"/>
      <c r="L44" s="117"/>
      <c r="M44" s="117"/>
    </row>
    <row r="45" spans="2:22">
      <c r="J45" s="117"/>
      <c r="K45" s="117"/>
      <c r="L45" s="117"/>
      <c r="M45" s="117"/>
      <c r="N45" s="106"/>
      <c r="O45" s="106"/>
      <c r="P45" s="106"/>
    </row>
    <row r="46" spans="2:22">
      <c r="J46" s="91"/>
    </row>
    <row r="47" spans="2:22">
      <c r="J47" s="107"/>
      <c r="O47" s="106"/>
      <c r="P47" s="106"/>
      <c r="Q47" s="106"/>
      <c r="R47" s="106"/>
      <c r="S47" s="106"/>
      <c r="T47" s="106"/>
      <c r="U47" s="106"/>
    </row>
    <row r="48" spans="2:22">
      <c r="J48" s="91"/>
      <c r="K48" s="91"/>
      <c r="L48" s="91"/>
      <c r="M48" s="91"/>
      <c r="N48" s="91"/>
      <c r="O48" s="91"/>
    </row>
    <row r="49" spans="10:21">
      <c r="J49" s="91"/>
      <c r="K49" s="91"/>
      <c r="L49" s="91"/>
      <c r="M49" s="91"/>
      <c r="N49" s="91"/>
      <c r="O49" s="107"/>
    </row>
    <row r="50" spans="10:21">
      <c r="J50" s="91"/>
      <c r="K50" s="91"/>
      <c r="L50" s="91"/>
      <c r="M50" s="91"/>
      <c r="N50" s="91"/>
      <c r="O50" s="91"/>
      <c r="P50" s="91"/>
      <c r="Q50" s="91"/>
      <c r="R50" s="91"/>
      <c r="S50" s="91"/>
      <c r="T50" s="91"/>
      <c r="U50" s="91"/>
    </row>
    <row r="51" spans="10:21">
      <c r="J51" s="91"/>
      <c r="K51" s="91"/>
      <c r="L51" s="91"/>
      <c r="M51" s="91"/>
      <c r="N51" s="91"/>
      <c r="O51" s="91"/>
      <c r="P51" s="91"/>
      <c r="Q51" s="91"/>
      <c r="R51" s="91"/>
      <c r="S51" s="91"/>
      <c r="T51" s="91"/>
      <c r="U51" s="91"/>
    </row>
    <row r="52" spans="10:21">
      <c r="J52" s="91"/>
      <c r="K52" s="91"/>
      <c r="L52" s="91"/>
      <c r="M52" s="91"/>
      <c r="N52" s="91"/>
      <c r="O52" s="91"/>
      <c r="P52" s="91"/>
      <c r="Q52" s="91"/>
      <c r="R52" s="91"/>
      <c r="S52" s="91"/>
      <c r="T52" s="91"/>
      <c r="U52" s="91"/>
    </row>
    <row r="53" spans="10:21">
      <c r="J53" s="91"/>
      <c r="K53" s="91"/>
      <c r="L53" s="91"/>
      <c r="M53" s="91"/>
      <c r="N53" s="91"/>
      <c r="O53" s="91"/>
      <c r="P53" s="91"/>
      <c r="Q53" s="91"/>
      <c r="R53" s="91"/>
      <c r="S53" s="91"/>
      <c r="T53" s="91"/>
      <c r="U53" s="91"/>
    </row>
    <row r="54" spans="10:21">
      <c r="J54" s="91"/>
      <c r="K54" s="91"/>
      <c r="L54" s="91"/>
      <c r="M54" s="91"/>
      <c r="N54" s="91"/>
      <c r="O54" s="91"/>
      <c r="P54" s="91"/>
      <c r="Q54" s="91"/>
      <c r="R54" s="91"/>
      <c r="S54" s="91"/>
      <c r="T54" s="91"/>
      <c r="U54" s="91"/>
    </row>
    <row r="55" spans="10:21">
      <c r="J55" s="91"/>
      <c r="K55" s="91"/>
      <c r="L55" s="91"/>
      <c r="M55" s="91"/>
      <c r="N55" s="91"/>
      <c r="O55" s="91"/>
      <c r="P55" s="91"/>
      <c r="Q55" s="91"/>
      <c r="R55" s="91"/>
      <c r="S55" s="91"/>
      <c r="T55" s="91"/>
      <c r="U55" s="91"/>
    </row>
    <row r="56" spans="10:21">
      <c r="J56" s="91"/>
      <c r="O56" s="91"/>
      <c r="P56" s="91"/>
      <c r="Q56" s="91"/>
      <c r="R56" s="91"/>
      <c r="S56" s="91"/>
      <c r="T56" s="91"/>
      <c r="U56" s="91"/>
    </row>
    <row r="57" spans="10:21">
      <c r="J57" s="107"/>
      <c r="O57" s="91"/>
      <c r="P57" s="91"/>
      <c r="Q57" s="91"/>
      <c r="R57" s="91"/>
      <c r="S57" s="91"/>
      <c r="T57" s="91"/>
      <c r="U57" s="91"/>
    </row>
    <row r="58" spans="10:21">
      <c r="J58" s="91"/>
      <c r="K58" s="91"/>
      <c r="L58" s="91"/>
      <c r="M58" s="91"/>
      <c r="N58" s="91"/>
      <c r="O58" s="91"/>
    </row>
    <row r="59" spans="10:21">
      <c r="J59" s="91"/>
      <c r="K59" s="91"/>
      <c r="L59" s="91"/>
      <c r="M59" s="91"/>
      <c r="N59" s="91"/>
      <c r="O59" s="107"/>
    </row>
    <row r="60" spans="10:21">
      <c r="J60" s="91"/>
      <c r="K60" s="91"/>
      <c r="L60" s="91"/>
      <c r="M60" s="91"/>
      <c r="N60" s="91"/>
      <c r="O60" s="91"/>
      <c r="P60" s="91"/>
      <c r="Q60" s="91"/>
      <c r="R60" s="91"/>
      <c r="S60" s="91"/>
      <c r="T60" s="91"/>
      <c r="U60" s="91"/>
    </row>
    <row r="61" spans="10:21">
      <c r="J61" s="91"/>
      <c r="K61" s="91"/>
      <c r="L61" s="91"/>
      <c r="M61" s="91"/>
      <c r="N61" s="91"/>
      <c r="O61" s="91"/>
      <c r="P61" s="91"/>
      <c r="Q61" s="91"/>
      <c r="R61" s="91"/>
      <c r="S61" s="91"/>
      <c r="T61" s="91"/>
      <c r="U61" s="91"/>
    </row>
    <row r="62" spans="10:21">
      <c r="J62" s="91"/>
      <c r="K62" s="91"/>
      <c r="L62" s="91"/>
      <c r="M62" s="91"/>
      <c r="N62" s="91"/>
      <c r="O62" s="91"/>
      <c r="P62" s="91"/>
      <c r="Q62" s="91"/>
      <c r="R62" s="91"/>
      <c r="S62" s="91"/>
      <c r="T62" s="91"/>
      <c r="U62" s="91"/>
    </row>
    <row r="63" spans="10:21">
      <c r="J63" s="91"/>
      <c r="K63" s="91"/>
      <c r="L63" s="91"/>
      <c r="M63" s="91"/>
      <c r="N63" s="91"/>
      <c r="O63" s="91"/>
      <c r="P63" s="91"/>
      <c r="Q63" s="91"/>
      <c r="R63" s="91"/>
      <c r="S63" s="91"/>
      <c r="T63" s="91"/>
      <c r="U63" s="91"/>
    </row>
    <row r="64" spans="10:21">
      <c r="J64" s="91"/>
      <c r="K64" s="91"/>
      <c r="L64" s="91"/>
      <c r="M64" s="91"/>
      <c r="N64" s="91"/>
      <c r="O64" s="91"/>
      <c r="P64" s="91"/>
      <c r="Q64" s="91"/>
      <c r="R64" s="91"/>
      <c r="S64" s="91"/>
      <c r="T64" s="91"/>
      <c r="U64" s="91"/>
    </row>
    <row r="65" spans="10:21">
      <c r="J65" s="91"/>
      <c r="K65" s="91"/>
      <c r="L65" s="91"/>
      <c r="M65" s="91"/>
      <c r="N65" s="91"/>
      <c r="O65" s="91"/>
      <c r="P65" s="91"/>
      <c r="Q65" s="91"/>
      <c r="R65" s="91"/>
      <c r="S65" s="91"/>
      <c r="T65" s="91"/>
      <c r="U65" s="91"/>
    </row>
    <row r="66" spans="10:21">
      <c r="J66" s="91"/>
      <c r="K66" s="91"/>
      <c r="L66" s="91"/>
      <c r="M66" s="91"/>
      <c r="N66" s="91"/>
      <c r="O66" s="91"/>
      <c r="P66" s="91"/>
      <c r="Q66" s="91"/>
      <c r="R66" s="91"/>
      <c r="S66" s="91"/>
      <c r="T66" s="91"/>
      <c r="U66" s="91"/>
    </row>
    <row r="67" spans="10:21">
      <c r="J67" s="91"/>
      <c r="K67" s="91"/>
      <c r="L67" s="91"/>
      <c r="M67" s="91"/>
      <c r="N67" s="91"/>
      <c r="O67" s="91"/>
      <c r="P67" s="91"/>
      <c r="Q67" s="91"/>
      <c r="R67" s="91"/>
      <c r="S67" s="91"/>
      <c r="T67" s="91"/>
      <c r="U67" s="91"/>
    </row>
    <row r="68" spans="10:21">
      <c r="J68" s="91"/>
      <c r="K68" s="91"/>
      <c r="L68" s="91"/>
      <c r="M68" s="91"/>
      <c r="N68" s="91"/>
      <c r="O68" s="91"/>
      <c r="P68" s="91"/>
      <c r="Q68" s="91"/>
      <c r="R68" s="91"/>
      <c r="S68" s="91"/>
      <c r="T68" s="91"/>
      <c r="U68" s="91"/>
    </row>
    <row r="69" spans="10:21">
      <c r="J69" s="91"/>
      <c r="K69" s="91"/>
      <c r="L69" s="91"/>
      <c r="M69" s="91"/>
      <c r="N69" s="91"/>
      <c r="O69" s="91"/>
      <c r="P69" s="91"/>
      <c r="Q69" s="91"/>
      <c r="R69" s="91"/>
      <c r="S69" s="91"/>
      <c r="T69" s="91"/>
      <c r="U69" s="91"/>
    </row>
    <row r="70" spans="10:21">
      <c r="J70" s="91"/>
      <c r="K70" s="91"/>
      <c r="L70" s="91"/>
      <c r="M70" s="91"/>
      <c r="N70" s="91"/>
      <c r="O70" s="91"/>
      <c r="P70" s="91"/>
      <c r="Q70" s="91"/>
      <c r="R70" s="91"/>
      <c r="S70" s="91"/>
      <c r="T70" s="91"/>
      <c r="U70" s="91"/>
    </row>
    <row r="71" spans="10:21">
      <c r="J71" s="91"/>
      <c r="K71" s="91"/>
      <c r="L71" s="91"/>
      <c r="M71" s="91"/>
      <c r="N71" s="91"/>
      <c r="O71" s="91"/>
      <c r="P71" s="91"/>
      <c r="Q71" s="91"/>
      <c r="R71" s="91"/>
      <c r="S71" s="91"/>
      <c r="T71" s="91"/>
      <c r="U71" s="91"/>
    </row>
    <row r="72" spans="10:21">
      <c r="J72" s="91"/>
      <c r="K72" s="91"/>
      <c r="L72" s="91"/>
      <c r="M72" s="91"/>
      <c r="N72" s="91"/>
      <c r="O72" s="91"/>
      <c r="P72" s="91"/>
      <c r="Q72" s="91"/>
      <c r="R72" s="91"/>
      <c r="S72" s="91"/>
      <c r="T72" s="91"/>
      <c r="U72" s="91"/>
    </row>
    <row r="73" spans="10:21">
      <c r="J73" s="91"/>
      <c r="O73" s="91"/>
      <c r="P73" s="91"/>
      <c r="Q73" s="91"/>
      <c r="R73" s="91"/>
      <c r="S73" s="91"/>
      <c r="T73" s="91"/>
      <c r="U73" s="91"/>
    </row>
    <row r="74" spans="10:21">
      <c r="J74" s="107"/>
      <c r="O74" s="91"/>
      <c r="P74" s="91"/>
      <c r="Q74" s="91"/>
      <c r="R74" s="91"/>
      <c r="S74" s="91"/>
      <c r="T74" s="91"/>
      <c r="U74" s="91"/>
    </row>
    <row r="75" spans="10:21">
      <c r="J75" s="91"/>
      <c r="K75" s="91"/>
      <c r="L75" s="91"/>
      <c r="M75" s="91"/>
      <c r="N75" s="91"/>
      <c r="O75" s="91"/>
    </row>
    <row r="76" spans="10:21">
      <c r="J76" s="91"/>
      <c r="K76" s="91"/>
      <c r="L76" s="91"/>
      <c r="M76" s="91"/>
      <c r="N76" s="91"/>
      <c r="O76" s="107"/>
    </row>
    <row r="77" spans="10:21">
      <c r="O77" s="91"/>
      <c r="P77" s="91"/>
      <c r="Q77" s="91"/>
      <c r="R77" s="91"/>
      <c r="S77" s="91"/>
      <c r="T77" s="91"/>
      <c r="U77" s="91"/>
    </row>
    <row r="78" spans="10:21">
      <c r="O78" s="91"/>
      <c r="P78" s="91"/>
      <c r="Q78" s="91"/>
      <c r="R78" s="91"/>
      <c r="S78" s="91"/>
      <c r="T78" s="91"/>
      <c r="U78" s="9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A0A81-33E8-4A8A-B8F7-7A6194349BD8}">
  <dimension ref="B1:V22"/>
  <sheetViews>
    <sheetView topLeftCell="A3" workbookViewId="0">
      <selection activeCell="H18" sqref="H18"/>
    </sheetView>
  </sheetViews>
  <sheetFormatPr defaultColWidth="9.42578125" defaultRowHeight="15" outlineLevelCol="1"/>
  <cols>
    <col min="1" max="1" width="3.42578125" style="1" customWidth="1"/>
    <col min="2" max="2" width="17" style="1" customWidth="1"/>
    <col min="3" max="3" width="10.28515625" style="1" customWidth="1"/>
    <col min="4" max="4" width="9.85546875" style="1" bestFit="1" customWidth="1"/>
    <col min="5" max="10" width="9.42578125" style="1" outlineLevel="1"/>
    <col min="11" max="21" width="9.42578125" style="1"/>
    <col min="22" max="26" width="10.28515625" style="1" bestFit="1" customWidth="1"/>
    <col min="27" max="27" width="12" style="1" bestFit="1" customWidth="1"/>
    <col min="28" max="29" width="9.42578125" style="1"/>
    <col min="30" max="30" width="10.28515625" style="1" bestFit="1" customWidth="1"/>
    <col min="31" max="16384" width="9.42578125" style="1"/>
  </cols>
  <sheetData>
    <row r="1" spans="2:22" s="3" customFormat="1"/>
    <row r="2" spans="2:22" s="3" customFormat="1" ht="21">
      <c r="B2" s="58" t="s">
        <v>3</v>
      </c>
      <c r="C2" s="57"/>
      <c r="D2" s="57"/>
      <c r="E2" s="57"/>
      <c r="F2" s="57"/>
      <c r="G2" s="57"/>
      <c r="H2" s="57"/>
      <c r="I2" s="57"/>
      <c r="J2" s="57"/>
      <c r="K2" s="57"/>
      <c r="L2" s="57"/>
      <c r="M2" s="57"/>
      <c r="N2" s="57"/>
      <c r="O2" s="57"/>
      <c r="P2" s="57"/>
      <c r="Q2" s="57"/>
      <c r="R2" s="57"/>
      <c r="S2" s="57"/>
      <c r="T2" s="57"/>
      <c r="U2" s="57"/>
      <c r="V2" s="57"/>
    </row>
    <row r="4" spans="2:22">
      <c r="B4" s="38" t="s">
        <v>81</v>
      </c>
    </row>
    <row r="5" spans="2:22">
      <c r="B5" s="38" t="s">
        <v>82</v>
      </c>
    </row>
    <row r="7" spans="2:22">
      <c r="B7" s="1" t="s">
        <v>83</v>
      </c>
      <c r="D7" s="54">
        <f>DATA!G19</f>
        <v>37.223999999999997</v>
      </c>
      <c r="F7" s="28" t="s">
        <v>84</v>
      </c>
    </row>
    <row r="8" spans="2:22">
      <c r="B8" s="1" t="s">
        <v>85</v>
      </c>
      <c r="D8" s="53">
        <f>D7/D19</f>
        <v>0.67197400487408609</v>
      </c>
      <c r="F8" s="52" t="s">
        <v>86</v>
      </c>
    </row>
    <row r="9" spans="2:22">
      <c r="B9" s="1" t="s">
        <v>87</v>
      </c>
      <c r="D9" s="105">
        <v>5.45E-2</v>
      </c>
      <c r="E9" s="1" t="s">
        <v>88</v>
      </c>
    </row>
    <row r="10" spans="2:22">
      <c r="B10" s="1" t="s">
        <v>89</v>
      </c>
      <c r="D10" s="53">
        <f>DATA!G11/100</f>
        <v>0.19399999999999998</v>
      </c>
    </row>
    <row r="12" spans="2:22" ht="15.95">
      <c r="B12" s="1" t="s">
        <v>33</v>
      </c>
      <c r="D12" s="108">
        <f>DATA!G16</f>
        <v>18.170999999999999</v>
      </c>
      <c r="F12" s="26" t="s">
        <v>90</v>
      </c>
    </row>
    <row r="13" spans="2:22">
      <c r="B13" s="1" t="s">
        <v>91</v>
      </c>
      <c r="D13" s="126">
        <f>D12/D19</f>
        <v>0.32802599512591391</v>
      </c>
      <c r="F13" s="6" t="s">
        <v>0</v>
      </c>
      <c r="H13" s="109" t="s">
        <v>92</v>
      </c>
    </row>
    <row r="14" spans="2:22">
      <c r="B14" s="1" t="s">
        <v>93</v>
      </c>
      <c r="D14" s="53">
        <f>D15+D16*(D17-D15)</f>
        <v>6.5809000000000006E-2</v>
      </c>
      <c r="F14" s="6" t="s">
        <v>94</v>
      </c>
      <c r="H14" s="109" t="s">
        <v>95</v>
      </c>
    </row>
    <row r="15" spans="2:22">
      <c r="B15" s="1" t="s">
        <v>96</v>
      </c>
      <c r="D15" s="111">
        <v>4.1050000000000003E-2</v>
      </c>
      <c r="F15" s="6" t="s">
        <v>97</v>
      </c>
      <c r="H15" s="109" t="s">
        <v>98</v>
      </c>
    </row>
    <row r="16" spans="2:22">
      <c r="B16" s="1" t="s">
        <v>99</v>
      </c>
      <c r="D16" s="112">
        <v>0.42</v>
      </c>
      <c r="F16" s="6" t="s">
        <v>100</v>
      </c>
      <c r="H16" s="122">
        <v>4.1050000000000003E-2</v>
      </c>
    </row>
    <row r="17" spans="2:8">
      <c r="B17" s="1" t="s">
        <v>101</v>
      </c>
      <c r="D17" s="111">
        <v>0.1</v>
      </c>
      <c r="F17" s="6" t="s">
        <v>102</v>
      </c>
      <c r="H17" s="109" t="s">
        <v>103</v>
      </c>
    </row>
    <row r="18" spans="2:8">
      <c r="F18" s="6" t="s">
        <v>104</v>
      </c>
      <c r="H18" s="109">
        <v>0.42</v>
      </c>
    </row>
    <row r="19" spans="2:8">
      <c r="B19" s="1" t="s">
        <v>105</v>
      </c>
      <c r="D19" s="54">
        <f>D7+D12</f>
        <v>55.394999999999996</v>
      </c>
      <c r="F19" s="6" t="s">
        <v>35</v>
      </c>
      <c r="H19" s="109">
        <v>146.1</v>
      </c>
    </row>
    <row r="20" spans="2:8">
      <c r="F20" s="7" t="s">
        <v>106</v>
      </c>
      <c r="H20" s="109"/>
    </row>
    <row r="21" spans="2:8">
      <c r="B21" s="55" t="s">
        <v>3</v>
      </c>
      <c r="C21" s="30"/>
      <c r="D21" s="56">
        <f>(D13*D14)+((D8*D9)*(1-D10))</f>
        <v>5.110486482534525E-2</v>
      </c>
      <c r="F21" s="6" t="s">
        <v>107</v>
      </c>
      <c r="H21" s="127">
        <v>0.19400000000000001</v>
      </c>
    </row>
    <row r="22" spans="2:8">
      <c r="B22" s="1" t="s">
        <v>108</v>
      </c>
      <c r="D22" s="53">
        <v>8.5000000000000006E-2</v>
      </c>
      <c r="F22" s="6" t="s">
        <v>109</v>
      </c>
      <c r="H22" s="110">
        <v>0.03</v>
      </c>
    </row>
  </sheetData>
  <hyperlinks>
    <hyperlink ref="F8" r:id="rId1" xr:uid="{C451527F-F0A9-4AB2-AFEF-6EE2D894FE7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C3B58-4135-428C-8763-7EC7C88F7D2B}">
  <dimension ref="B2:S77"/>
  <sheetViews>
    <sheetView zoomScale="110" zoomScaleNormal="110" workbookViewId="0">
      <selection activeCell="G22" sqref="G22"/>
    </sheetView>
  </sheetViews>
  <sheetFormatPr defaultColWidth="8.42578125" defaultRowHeight="15"/>
  <cols>
    <col min="1" max="1" width="1.85546875" style="1" customWidth="1"/>
    <col min="2" max="2" width="27.7109375" style="1" customWidth="1"/>
    <col min="3" max="4" width="9" style="1" bestFit="1" customWidth="1"/>
    <col min="5" max="5" width="11.85546875" style="1" bestFit="1" customWidth="1"/>
    <col min="6" max="6" width="11.42578125" style="1" bestFit="1" customWidth="1"/>
    <col min="7" max="7" width="14.42578125" style="1" bestFit="1" customWidth="1"/>
    <col min="8" max="16384" width="8.42578125" style="1"/>
  </cols>
  <sheetData>
    <row r="2" spans="2:19">
      <c r="B2" s="85" t="s">
        <v>110</v>
      </c>
      <c r="C2" s="85" t="s">
        <v>111</v>
      </c>
      <c r="D2" s="85" t="s">
        <v>112</v>
      </c>
      <c r="E2" s="85" t="s">
        <v>113</v>
      </c>
      <c r="F2" s="85" t="s">
        <v>114</v>
      </c>
      <c r="G2" s="85" t="s">
        <v>115</v>
      </c>
    </row>
    <row r="3" spans="2:19">
      <c r="B3" s="86" t="s">
        <v>116</v>
      </c>
      <c r="C3" s="87"/>
      <c r="D3" s="87"/>
      <c r="E3" s="87"/>
      <c r="F3" s="87"/>
      <c r="G3" s="87"/>
    </row>
    <row r="4" spans="2:19">
      <c r="B4" s="88" t="s">
        <v>117</v>
      </c>
      <c r="C4" s="88">
        <v>70.372</v>
      </c>
      <c r="D4" s="88">
        <v>79.474000000000004</v>
      </c>
      <c r="E4" s="88">
        <v>86.391999999999996</v>
      </c>
      <c r="F4" s="88">
        <v>91.471000000000004</v>
      </c>
      <c r="G4" s="88">
        <v>91.853999999999999</v>
      </c>
      <c r="H4" s="1" t="s">
        <v>118</v>
      </c>
    </row>
    <row r="5" spans="2:19">
      <c r="B5" s="88" t="s">
        <v>119</v>
      </c>
      <c r="C5" s="88">
        <v>31.797000000000001</v>
      </c>
      <c r="D5" s="88">
        <v>37.075000000000003</v>
      </c>
      <c r="E5" s="88">
        <v>40.576000000000001</v>
      </c>
      <c r="F5" s="88">
        <v>41.881</v>
      </c>
      <c r="G5" s="88">
        <v>41.744</v>
      </c>
      <c r="H5" s="1" t="s">
        <v>118</v>
      </c>
    </row>
    <row r="6" spans="2:19" ht="26.1">
      <c r="B6" s="88" t="s">
        <v>120</v>
      </c>
      <c r="C6" s="88">
        <v>28.452999999999999</v>
      </c>
      <c r="D6" s="88">
        <v>31.236999999999998</v>
      </c>
      <c r="E6" s="88">
        <v>34.459000000000003</v>
      </c>
      <c r="F6" s="88">
        <v>36.677</v>
      </c>
      <c r="G6" s="88">
        <v>37.19</v>
      </c>
      <c r="H6" s="1" t="s">
        <v>118</v>
      </c>
    </row>
    <row r="7" spans="2:19">
      <c r="B7" s="88" t="s">
        <v>121</v>
      </c>
      <c r="C7" s="88">
        <v>42</v>
      </c>
      <c r="D7" s="88">
        <v>0</v>
      </c>
      <c r="E7" s="88">
        <v>-155</v>
      </c>
      <c r="F7" s="88">
        <v>927</v>
      </c>
      <c r="G7" s="88">
        <v>33</v>
      </c>
      <c r="H7" s="1" t="s">
        <v>118</v>
      </c>
    </row>
    <row r="8" spans="2:19">
      <c r="B8" s="88" t="s">
        <v>122</v>
      </c>
      <c r="C8" s="88">
        <v>1.8939999999999999</v>
      </c>
      <c r="D8" s="88">
        <v>2.1419999999999999</v>
      </c>
      <c r="E8" s="88">
        <v>1.7270000000000001</v>
      </c>
      <c r="F8" s="88">
        <v>2.262</v>
      </c>
      <c r="G8" s="88">
        <v>2.3199999999999998</v>
      </c>
      <c r="H8" s="1" t="s">
        <v>118</v>
      </c>
    </row>
    <row r="9" spans="2:19">
      <c r="B9" s="88" t="s">
        <v>123</v>
      </c>
      <c r="C9" s="88">
        <f>13.106-10.08</f>
        <v>3.0259999999999998</v>
      </c>
      <c r="D9" s="88">
        <f>14.377-11.162</f>
        <v>3.2149999999999999</v>
      </c>
      <c r="E9" s="88">
        <f>14.792-11.512</f>
        <v>3.2799999999999994</v>
      </c>
      <c r="F9" s="88">
        <f>15.504-11.986</f>
        <v>3.5179999999999989</v>
      </c>
      <c r="G9" s="88">
        <f>16.702-12.887</f>
        <v>3.8150000000000013</v>
      </c>
      <c r="H9" s="1" t="s">
        <v>118</v>
      </c>
    </row>
    <row r="10" spans="2:19">
      <c r="B10" s="88" t="s">
        <v>124</v>
      </c>
      <c r="C10" s="88">
        <v>1.1279999999999999</v>
      </c>
      <c r="D10" s="88">
        <v>1.863</v>
      </c>
      <c r="E10" s="88">
        <v>0.93899999999999995</v>
      </c>
      <c r="F10" s="88">
        <v>0.81899999999999995</v>
      </c>
      <c r="G10" s="88">
        <v>0.91900000000000004</v>
      </c>
      <c r="H10" s="1" t="s">
        <v>118</v>
      </c>
      <c r="R10" s="88"/>
    </row>
    <row r="11" spans="2:19" ht="12" customHeight="1">
      <c r="B11" s="88" t="s">
        <v>125</v>
      </c>
      <c r="C11" s="88">
        <v>20.9</v>
      </c>
      <c r="D11" s="1">
        <v>21.8</v>
      </c>
      <c r="E11" s="88">
        <v>16.100000000000001</v>
      </c>
      <c r="F11" s="88">
        <v>19.8</v>
      </c>
      <c r="G11" s="88">
        <v>19.399999999999999</v>
      </c>
      <c r="H11" s="1" t="s">
        <v>118</v>
      </c>
    </row>
    <row r="12" spans="2:19" ht="12" customHeight="1">
      <c r="B12" s="91"/>
      <c r="C12" s="91"/>
      <c r="D12" s="91"/>
      <c r="E12" s="91"/>
      <c r="F12" s="91"/>
      <c r="G12" s="91"/>
    </row>
    <row r="13" spans="2:19">
      <c r="B13" s="86" t="s">
        <v>126</v>
      </c>
      <c r="C13" s="87"/>
      <c r="D13" s="87"/>
      <c r="E13" s="87"/>
      <c r="F13" s="87"/>
      <c r="G13" s="87"/>
      <c r="M13" s="106"/>
      <c r="N13" s="106"/>
      <c r="O13" s="106"/>
      <c r="P13" s="106"/>
      <c r="Q13" s="106"/>
      <c r="R13" s="106"/>
      <c r="S13" s="106"/>
    </row>
    <row r="14" spans="2:19">
      <c r="B14" s="88" t="s">
        <v>127</v>
      </c>
      <c r="C14" s="88">
        <v>23.001000000000001</v>
      </c>
      <c r="D14" s="88">
        <v>21.783000000000001</v>
      </c>
      <c r="E14" s="88">
        <v>21.539000000000001</v>
      </c>
      <c r="F14" s="88">
        <v>26.95</v>
      </c>
      <c r="G14" s="88">
        <v>25.826000000000001</v>
      </c>
      <c r="H14" s="1" t="s">
        <v>118</v>
      </c>
      <c r="M14" s="91"/>
    </row>
    <row r="15" spans="2:19">
      <c r="B15" s="88" t="s">
        <v>128</v>
      </c>
      <c r="C15" s="88">
        <v>23.372</v>
      </c>
      <c r="D15" s="88">
        <v>26.22</v>
      </c>
      <c r="E15" s="88">
        <v>26.785</v>
      </c>
      <c r="F15" s="88">
        <v>31.646999999999998</v>
      </c>
      <c r="G15" s="88">
        <v>31.536000000000001</v>
      </c>
      <c r="H15" s="1" t="s">
        <v>118</v>
      </c>
      <c r="M15" s="107"/>
    </row>
    <row r="16" spans="2:19">
      <c r="B16" s="88" t="s">
        <v>129</v>
      </c>
      <c r="C16" s="88">
        <v>13.552</v>
      </c>
      <c r="D16" s="88">
        <v>16.151</v>
      </c>
      <c r="E16" s="88">
        <v>17.273</v>
      </c>
      <c r="F16" s="88">
        <v>18.637</v>
      </c>
      <c r="G16" s="88">
        <v>18.170999999999999</v>
      </c>
      <c r="H16" s="1" t="s">
        <v>118</v>
      </c>
      <c r="M16" s="91"/>
      <c r="N16" s="91"/>
      <c r="O16" s="91"/>
      <c r="P16" s="91"/>
      <c r="Q16" s="91"/>
      <c r="R16" s="91"/>
      <c r="S16" s="91"/>
    </row>
    <row r="17" spans="2:19">
      <c r="B17" s="88" t="s">
        <v>130</v>
      </c>
      <c r="C17" s="88">
        <v>580.1</v>
      </c>
      <c r="D17" s="88">
        <v>1741.6</v>
      </c>
      <c r="E17" s="88">
        <v>1478.1</v>
      </c>
      <c r="F17" s="88">
        <v>1513.5</v>
      </c>
      <c r="G17" s="88">
        <v>1540.7</v>
      </c>
      <c r="M17" s="91"/>
      <c r="N17" s="91"/>
      <c r="O17" s="91"/>
      <c r="P17" s="91"/>
      <c r="Q17" s="91"/>
      <c r="R17" s="91"/>
      <c r="S17" s="91"/>
    </row>
    <row r="18" spans="2:19">
      <c r="B18" s="88" t="s">
        <v>131</v>
      </c>
      <c r="C18" s="88" t="s">
        <v>132</v>
      </c>
      <c r="D18" s="88">
        <v>1.7</v>
      </c>
      <c r="E18" s="88">
        <v>5.7</v>
      </c>
      <c r="F18" s="88">
        <v>5.0999999999999996</v>
      </c>
      <c r="G18" s="88" t="s">
        <v>132</v>
      </c>
      <c r="M18" s="91"/>
      <c r="N18" s="91"/>
      <c r="O18" s="91"/>
      <c r="P18" s="91"/>
      <c r="Q18" s="91"/>
      <c r="R18" s="91"/>
      <c r="S18" s="91"/>
    </row>
    <row r="19" spans="2:19">
      <c r="B19" s="88" t="s">
        <v>133</v>
      </c>
      <c r="C19" s="88">
        <v>40.369999999999997</v>
      </c>
      <c r="D19" s="88">
        <v>36.026000000000003</v>
      </c>
      <c r="E19" s="88">
        <v>35.656999999999996</v>
      </c>
      <c r="F19" s="88">
        <v>37.594999999999999</v>
      </c>
      <c r="G19" s="88">
        <v>37.223999999999997</v>
      </c>
      <c r="H19" s="1" t="s">
        <v>118</v>
      </c>
      <c r="M19" s="91"/>
      <c r="N19" s="91"/>
      <c r="O19" s="91"/>
      <c r="P19" s="91"/>
      <c r="Q19" s="91"/>
      <c r="R19" s="91"/>
      <c r="S19" s="91"/>
    </row>
    <row r="20" spans="2:19">
      <c r="B20" s="88" t="s">
        <v>134</v>
      </c>
      <c r="C20" s="88">
        <v>8.1850000000000005</v>
      </c>
      <c r="D20" s="88">
        <v>5.5960000000000001</v>
      </c>
      <c r="E20" s="88">
        <v>4.9539999999999997</v>
      </c>
      <c r="F20" s="88">
        <v>9.7110000000000003</v>
      </c>
      <c r="G20" s="88">
        <v>8.5050000000000008</v>
      </c>
      <c r="H20" s="1" t="s">
        <v>118</v>
      </c>
      <c r="M20" s="91"/>
      <c r="N20" s="91"/>
      <c r="O20" s="91"/>
      <c r="P20" s="91"/>
      <c r="Q20" s="91"/>
      <c r="R20" s="91"/>
      <c r="S20" s="91"/>
    </row>
    <row r="21" spans="2:19">
      <c r="B21" s="88" t="s">
        <v>135</v>
      </c>
      <c r="C21" s="88"/>
      <c r="D21" s="88"/>
      <c r="E21" s="125">
        <v>1387000000</v>
      </c>
      <c r="F21" s="125">
        <v>1383000000</v>
      </c>
      <c r="G21" s="130">
        <v>1.3779999999999999</v>
      </c>
      <c r="I21" s="91"/>
      <c r="J21" s="91"/>
      <c r="K21" s="91"/>
      <c r="L21" s="91"/>
      <c r="M21" s="91"/>
      <c r="N21" s="91"/>
      <c r="O21" s="91"/>
      <c r="P21" s="91"/>
      <c r="Q21" s="91"/>
      <c r="R21" s="91"/>
      <c r="S21" s="91"/>
    </row>
    <row r="22" spans="2:19" ht="26.1">
      <c r="B22" s="88" t="s">
        <v>136</v>
      </c>
      <c r="C22" s="88"/>
      <c r="D22" s="88"/>
      <c r="E22" s="88"/>
      <c r="F22" s="88"/>
      <c r="G22" s="130">
        <v>1.371</v>
      </c>
      <c r="M22" s="91"/>
      <c r="N22" s="91"/>
      <c r="O22" s="91"/>
      <c r="P22" s="91"/>
      <c r="Q22" s="91"/>
      <c r="R22" s="91"/>
      <c r="S22" s="91"/>
    </row>
    <row r="23" spans="2:19">
      <c r="B23" s="88" t="s">
        <v>137</v>
      </c>
      <c r="C23" s="88">
        <v>13.218</v>
      </c>
      <c r="D23" s="88">
        <v>14.429</v>
      </c>
      <c r="E23" s="88">
        <v>15.978999999999999</v>
      </c>
      <c r="F23" s="88">
        <v>16.925000000000001</v>
      </c>
      <c r="G23" s="88">
        <v>16.34</v>
      </c>
      <c r="H23" s="1" t="s">
        <v>118</v>
      </c>
      <c r="M23" s="91"/>
      <c r="N23" s="91"/>
      <c r="O23" s="91"/>
      <c r="P23" s="91"/>
      <c r="Q23" s="91"/>
      <c r="R23" s="91"/>
      <c r="S23" s="91"/>
    </row>
    <row r="24" spans="2:19">
      <c r="B24" s="88" t="s">
        <v>138</v>
      </c>
      <c r="C24" s="88">
        <v>0.109</v>
      </c>
      <c r="D24" s="88">
        <v>0.111</v>
      </c>
      <c r="E24" s="88">
        <v>0.20200000000000001</v>
      </c>
      <c r="F24" s="88">
        <v>0.2</v>
      </c>
      <c r="G24" s="88">
        <v>0.111</v>
      </c>
      <c r="H24" s="1" t="s">
        <v>118</v>
      </c>
      <c r="M24" s="91"/>
    </row>
    <row r="25" spans="2:19">
      <c r="B25" s="88" t="s">
        <v>76</v>
      </c>
      <c r="C25" s="88">
        <v>4.1719999999999997</v>
      </c>
      <c r="D25" s="88">
        <v>4.3470000000000004</v>
      </c>
      <c r="E25" s="88">
        <v>5.2220000000000004</v>
      </c>
      <c r="F25" s="88">
        <v>5.3339999999999996</v>
      </c>
      <c r="G25" s="88">
        <v>5.306</v>
      </c>
      <c r="H25" s="1" t="s">
        <v>118</v>
      </c>
      <c r="M25" s="107"/>
    </row>
    <row r="26" spans="2:19">
      <c r="B26" s="88" t="s">
        <v>139</v>
      </c>
      <c r="C26" s="88">
        <v>0</v>
      </c>
      <c r="D26" s="88">
        <v>0</v>
      </c>
      <c r="E26" s="88">
        <v>0</v>
      </c>
      <c r="F26" s="88">
        <v>0</v>
      </c>
      <c r="G26" s="88">
        <v>0</v>
      </c>
      <c r="H26" s="1" t="s">
        <v>118</v>
      </c>
      <c r="M26" s="107"/>
    </row>
    <row r="27" spans="2:19">
      <c r="B27" s="88" t="s">
        <v>140</v>
      </c>
      <c r="C27" s="88">
        <v>0</v>
      </c>
      <c r="D27" s="88">
        <v>0</v>
      </c>
      <c r="E27" s="88">
        <v>0</v>
      </c>
      <c r="F27" s="88">
        <v>0</v>
      </c>
      <c r="G27" s="88">
        <v>0</v>
      </c>
      <c r="H27" s="1" t="s">
        <v>118</v>
      </c>
      <c r="M27" s="107"/>
    </row>
    <row r="28" spans="2:19">
      <c r="B28" s="88" t="s">
        <v>141</v>
      </c>
      <c r="C28" s="88">
        <v>874</v>
      </c>
      <c r="D28" s="88">
        <v>980</v>
      </c>
      <c r="E28" s="88">
        <v>806</v>
      </c>
      <c r="F28" s="88">
        <v>798</v>
      </c>
      <c r="G28" s="88">
        <v>921</v>
      </c>
      <c r="H28" s="1" t="s">
        <v>118</v>
      </c>
      <c r="M28" s="107"/>
    </row>
    <row r="29" spans="2:19">
      <c r="B29" s="88" t="s">
        <v>142</v>
      </c>
      <c r="C29" s="88">
        <v>13.218</v>
      </c>
      <c r="D29" s="88">
        <v>14.429</v>
      </c>
      <c r="E29" s="88">
        <v>15.978999999999999</v>
      </c>
      <c r="F29" s="88">
        <v>16.925000000000001</v>
      </c>
      <c r="G29" s="88">
        <v>16.34</v>
      </c>
      <c r="H29" s="1" t="s">
        <v>118</v>
      </c>
      <c r="M29" s="107"/>
    </row>
    <row r="30" spans="2:19">
      <c r="B30" s="88" t="s">
        <v>143</v>
      </c>
      <c r="C30" s="88"/>
      <c r="D30" s="88"/>
      <c r="E30" s="88"/>
      <c r="F30" s="88"/>
      <c r="G30" s="88"/>
      <c r="H30" s="1" t="s">
        <v>118</v>
      </c>
      <c r="M30" s="107"/>
    </row>
    <row r="31" spans="2:19">
      <c r="B31" s="88" t="s">
        <v>144</v>
      </c>
      <c r="C31" s="88">
        <v>3.8180000000000001</v>
      </c>
      <c r="D31" s="88">
        <v>4.3179999999999996</v>
      </c>
      <c r="E31" s="88">
        <v>3.5790000000000002</v>
      </c>
      <c r="F31" s="88">
        <v>4.4800000000000004</v>
      </c>
      <c r="G31" s="88">
        <v>4.6459999999999999</v>
      </c>
      <c r="H31" s="1" t="s">
        <v>118</v>
      </c>
      <c r="M31" s="107"/>
    </row>
    <row r="32" spans="2:19">
      <c r="B32" s="88" t="s">
        <v>145</v>
      </c>
      <c r="C32" s="88">
        <v>23.039000000000001</v>
      </c>
      <c r="D32" s="88">
        <v>24.472000000000001</v>
      </c>
      <c r="E32" s="88">
        <v>26.664000000000001</v>
      </c>
      <c r="F32" s="88">
        <v>29.943999999999999</v>
      </c>
      <c r="G32" s="88">
        <v>31.390999999999998</v>
      </c>
      <c r="H32" s="1" t="s">
        <v>118</v>
      </c>
      <c r="M32" s="91"/>
      <c r="N32" s="91"/>
      <c r="O32" s="91"/>
      <c r="P32" s="91"/>
      <c r="Q32" s="91"/>
      <c r="R32" s="91"/>
      <c r="S32" s="91"/>
    </row>
    <row r="33" spans="2:19" ht="8.1" customHeight="1">
      <c r="B33" s="88"/>
      <c r="C33" s="87"/>
      <c r="D33" s="87"/>
      <c r="E33" s="87"/>
      <c r="F33" s="87"/>
      <c r="G33" s="87"/>
      <c r="M33" s="91"/>
      <c r="N33" s="91"/>
      <c r="O33" s="91"/>
      <c r="P33" s="91"/>
      <c r="Q33" s="91"/>
      <c r="R33" s="91"/>
      <c r="S33" s="91"/>
    </row>
    <row r="34" spans="2:19" ht="15.95" customHeight="1">
      <c r="B34" s="86" t="s">
        <v>146</v>
      </c>
      <c r="C34" s="87"/>
      <c r="D34" s="87"/>
      <c r="E34" s="87"/>
      <c r="F34" s="87"/>
      <c r="G34" s="87"/>
      <c r="H34" s="1" t="s">
        <v>118</v>
      </c>
      <c r="M34" s="91"/>
      <c r="N34" s="91"/>
      <c r="O34" s="91"/>
      <c r="P34" s="91"/>
      <c r="Q34" s="91"/>
      <c r="R34" s="91"/>
      <c r="S34" s="91"/>
    </row>
    <row r="35" spans="2:19" ht="26.1">
      <c r="B35" s="88" t="s">
        <v>147</v>
      </c>
      <c r="C35" s="88">
        <v>10.613</v>
      </c>
      <c r="D35" s="88">
        <v>11.616</v>
      </c>
      <c r="E35" s="88">
        <v>10.811</v>
      </c>
      <c r="F35" s="88">
        <v>13.442</v>
      </c>
      <c r="G35" s="88">
        <v>12.507</v>
      </c>
      <c r="H35" s="1" t="s">
        <v>118</v>
      </c>
      <c r="M35" s="91"/>
      <c r="N35" s="91"/>
      <c r="O35" s="91"/>
      <c r="P35" s="91"/>
      <c r="Q35" s="91"/>
      <c r="R35" s="91"/>
      <c r="S35" s="91"/>
    </row>
    <row r="36" spans="2:19">
      <c r="B36" s="88" t="s">
        <v>148</v>
      </c>
      <c r="C36" s="88">
        <v>-11.619</v>
      </c>
      <c r="D36" s="88">
        <v>-3.2690000000000001</v>
      </c>
      <c r="E36" s="88">
        <v>-2.4300000000000002</v>
      </c>
      <c r="F36" s="88">
        <v>-5.4950000000000001</v>
      </c>
      <c r="G36" s="88">
        <v>-5.4720000000000004</v>
      </c>
      <c r="H36" s="1" t="s">
        <v>118</v>
      </c>
      <c r="M36" s="91"/>
      <c r="N36" s="91"/>
      <c r="O36" s="91"/>
      <c r="P36" s="91"/>
      <c r="Q36" s="91"/>
      <c r="R36" s="91"/>
      <c r="S36" s="91"/>
    </row>
    <row r="37" spans="2:19">
      <c r="B37" s="88" t="s">
        <v>149</v>
      </c>
      <c r="C37" s="88">
        <v>3.819</v>
      </c>
      <c r="D37" s="88">
        <v>-10.78</v>
      </c>
      <c r="E37" s="88">
        <v>-8.5229999999999997</v>
      </c>
      <c r="F37" s="88">
        <v>-3.0089999999999999</v>
      </c>
      <c r="G37" s="88">
        <v>-7.556</v>
      </c>
      <c r="H37" s="1" t="s">
        <v>118</v>
      </c>
      <c r="M37" s="91"/>
      <c r="N37" s="91"/>
      <c r="O37" s="91"/>
      <c r="P37" s="91"/>
      <c r="Q37" s="91"/>
      <c r="R37" s="91"/>
      <c r="S37" s="91"/>
    </row>
    <row r="38" spans="2:19">
      <c r="B38" s="1" t="s">
        <v>150</v>
      </c>
      <c r="C38" s="1">
        <v>8.2539999999999996</v>
      </c>
      <c r="D38" s="1">
        <v>5.7069999999999999</v>
      </c>
      <c r="E38" s="1">
        <v>5.0999999999999996</v>
      </c>
      <c r="F38" s="1">
        <v>9.7609999999999992</v>
      </c>
      <c r="G38" s="1">
        <v>8.5530000000000008</v>
      </c>
      <c r="H38" s="1" t="s">
        <v>118</v>
      </c>
      <c r="M38" s="91"/>
      <c r="N38" s="91"/>
      <c r="O38" s="91"/>
      <c r="P38" s="91"/>
      <c r="Q38" s="91"/>
      <c r="R38" s="91"/>
      <c r="S38" s="91"/>
    </row>
    <row r="39" spans="2:19">
      <c r="M39" s="91"/>
      <c r="N39" s="91"/>
      <c r="O39" s="91"/>
      <c r="P39" s="91"/>
      <c r="Q39" s="91"/>
      <c r="R39" s="91"/>
      <c r="S39" s="91"/>
    </row>
    <row r="40" spans="2:19">
      <c r="M40" s="91"/>
      <c r="N40" s="91"/>
      <c r="O40" s="91"/>
      <c r="P40" s="91"/>
      <c r="Q40" s="91"/>
      <c r="R40" s="91"/>
      <c r="S40" s="91"/>
    </row>
    <row r="41" spans="2:19">
      <c r="B41" s="86" t="s">
        <v>151</v>
      </c>
      <c r="C41" s="87"/>
      <c r="D41" s="87"/>
      <c r="E41" s="87"/>
      <c r="F41" s="87"/>
      <c r="G41" s="87"/>
      <c r="M41" s="91"/>
      <c r="N41" s="91"/>
      <c r="O41" s="91"/>
      <c r="P41" s="91"/>
      <c r="Q41" s="91"/>
      <c r="R41" s="91"/>
      <c r="S41" s="91"/>
    </row>
    <row r="42" spans="2:19">
      <c r="B42" s="88" t="s">
        <v>152</v>
      </c>
      <c r="C42" s="88">
        <v>345.3</v>
      </c>
      <c r="D42" s="88">
        <v>344.3</v>
      </c>
      <c r="E42" s="88">
        <v>518.20000000000005</v>
      </c>
      <c r="F42" s="88">
        <v>464.4</v>
      </c>
      <c r="G42" s="88">
        <v>493.5</v>
      </c>
      <c r="M42" s="91"/>
      <c r="N42" s="91"/>
      <c r="O42" s="91"/>
      <c r="P42" s="91"/>
      <c r="Q42" s="91"/>
      <c r="R42" s="91"/>
      <c r="S42" s="91"/>
    </row>
    <row r="43" spans="2:19">
      <c r="B43" s="88" t="s">
        <v>153</v>
      </c>
      <c r="C43" s="88">
        <v>235.9</v>
      </c>
      <c r="D43" s="88">
        <v>221.7</v>
      </c>
      <c r="E43" s="88">
        <v>391.3</v>
      </c>
      <c r="F43" s="88">
        <v>338.9</v>
      </c>
      <c r="G43" s="88">
        <v>366.5</v>
      </c>
      <c r="M43" s="91"/>
      <c r="N43" s="91"/>
      <c r="O43" s="91"/>
      <c r="P43" s="91"/>
      <c r="Q43" s="91"/>
      <c r="R43" s="91"/>
      <c r="S43" s="91"/>
    </row>
    <row r="44" spans="2:19">
      <c r="B44" s="88" t="s">
        <v>16</v>
      </c>
      <c r="C44" s="88">
        <v>234.5</v>
      </c>
      <c r="D44" s="88">
        <v>221.5</v>
      </c>
      <c r="E44" s="88">
        <v>391.7</v>
      </c>
      <c r="F44" s="88">
        <v>338.9</v>
      </c>
      <c r="G44" s="88">
        <v>366.5</v>
      </c>
      <c r="M44" s="91"/>
      <c r="N44" s="91"/>
      <c r="O44" s="91"/>
      <c r="P44" s="91"/>
      <c r="Q44" s="91"/>
      <c r="R44" s="91"/>
      <c r="S44" s="91"/>
    </row>
    <row r="45" spans="2:19">
      <c r="B45" s="88" t="s">
        <v>125</v>
      </c>
      <c r="C45" s="88">
        <v>19.03</v>
      </c>
      <c r="D45" s="88">
        <v>23.72</v>
      </c>
      <c r="E45" s="88">
        <v>23.73</v>
      </c>
      <c r="F45" s="88">
        <v>24.27</v>
      </c>
      <c r="G45" s="88">
        <v>25.23</v>
      </c>
      <c r="J45" s="106"/>
      <c r="K45" s="106"/>
      <c r="L45" s="106"/>
      <c r="M45" s="106"/>
      <c r="N45" s="106"/>
      <c r="O45" s="106"/>
      <c r="P45" s="106"/>
    </row>
    <row r="46" spans="2:19">
      <c r="B46" s="88" t="s">
        <v>154</v>
      </c>
      <c r="C46" s="88">
        <v>129.6</v>
      </c>
      <c r="D46" s="88">
        <v>125.2</v>
      </c>
      <c r="E46" s="88">
        <v>235.5</v>
      </c>
      <c r="F46" s="88">
        <v>204.5</v>
      </c>
      <c r="G46" s="88">
        <v>223.4</v>
      </c>
      <c r="J46" s="91"/>
    </row>
    <row r="47" spans="2:19">
      <c r="J47" s="107"/>
      <c r="Q47" s="91"/>
      <c r="R47" s="91"/>
      <c r="S47" s="91"/>
    </row>
    <row r="48" spans="2:19">
      <c r="J48" s="91"/>
      <c r="K48" s="91"/>
      <c r="L48" s="91"/>
      <c r="M48" s="91"/>
      <c r="N48" s="91"/>
      <c r="O48" s="91"/>
      <c r="P48" s="91"/>
      <c r="Q48" s="91"/>
      <c r="R48" s="91"/>
      <c r="S48" s="91"/>
    </row>
    <row r="49" spans="2:16">
      <c r="B49" s="91"/>
      <c r="N49" s="90"/>
      <c r="O49" s="91"/>
      <c r="P49" s="91"/>
    </row>
    <row r="50" spans="2:16">
      <c r="O50" s="91"/>
      <c r="P50" s="91"/>
    </row>
    <row r="51" spans="2:16">
      <c r="O51" s="91"/>
      <c r="P51" s="91"/>
    </row>
    <row r="52" spans="2:16">
      <c r="O52" s="91"/>
      <c r="P52" s="91"/>
    </row>
    <row r="53" spans="2:16">
      <c r="O53" s="91"/>
      <c r="P53" s="91"/>
    </row>
    <row r="54" spans="2:16">
      <c r="O54" s="91"/>
      <c r="P54" s="91"/>
    </row>
    <row r="55" spans="2:16">
      <c r="O55" s="91"/>
      <c r="P55" s="91"/>
    </row>
    <row r="58" spans="2:16">
      <c r="O58" s="91"/>
      <c r="P58" s="91"/>
    </row>
    <row r="59" spans="2:16">
      <c r="O59" s="91"/>
      <c r="P59" s="91"/>
    </row>
    <row r="60" spans="2:16">
      <c r="O60" s="91"/>
      <c r="P60" s="91"/>
    </row>
    <row r="61" spans="2:16">
      <c r="O61" s="91"/>
      <c r="P61" s="91"/>
    </row>
    <row r="62" spans="2:16">
      <c r="O62" s="91"/>
      <c r="P62" s="91"/>
    </row>
    <row r="63" spans="2:16">
      <c r="O63" s="91"/>
      <c r="P63" s="91"/>
    </row>
    <row r="64" spans="2:16">
      <c r="O64" s="91"/>
      <c r="P64" s="91"/>
    </row>
    <row r="65" spans="15:16">
      <c r="O65" s="91"/>
      <c r="P65" s="91"/>
    </row>
    <row r="66" spans="15:16">
      <c r="O66" s="91"/>
      <c r="P66" s="91"/>
    </row>
    <row r="67" spans="15:16">
      <c r="O67" s="91"/>
      <c r="P67" s="91"/>
    </row>
    <row r="68" spans="15:16">
      <c r="O68" s="91"/>
      <c r="P68" s="91"/>
    </row>
    <row r="69" spans="15:16">
      <c r="O69" s="91"/>
      <c r="P69" s="91"/>
    </row>
    <row r="70" spans="15:16">
      <c r="O70" s="91"/>
      <c r="P70" s="91"/>
    </row>
    <row r="71" spans="15:16">
      <c r="O71" s="91"/>
      <c r="P71" s="91"/>
    </row>
    <row r="72" spans="15:16">
      <c r="O72" s="91"/>
      <c r="P72" s="91"/>
    </row>
    <row r="75" spans="15:16">
      <c r="O75" s="91"/>
      <c r="P75" s="91"/>
    </row>
    <row r="76" spans="15:16">
      <c r="O76" s="91"/>
      <c r="P76" s="91"/>
    </row>
    <row r="77" spans="15:16">
      <c r="O77" s="91"/>
      <c r="P77" s="9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1F5FE-B68E-406A-A12C-37C9E5BED3A9}">
  <sheetPr>
    <tabColor rgb="FF002060"/>
  </sheetPr>
  <dimension ref="B6"/>
  <sheetViews>
    <sheetView workbookViewId="0">
      <selection activeCell="B17" sqref="B17:H23"/>
    </sheetView>
  </sheetViews>
  <sheetFormatPr defaultColWidth="8.42578125" defaultRowHeight="15"/>
  <cols>
    <col min="1" max="16384" width="8.42578125" style="1"/>
  </cols>
  <sheetData>
    <row r="6" spans="2:2" ht="36.950000000000003">
      <c r="B6" s="81" t="s">
        <v>155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0C85C6CF2C4D48BC4ECCA7D15B69D6" ma:contentTypeVersion="8" ma:contentTypeDescription="Create a new document." ma:contentTypeScope="" ma:versionID="ab9f499f3a46dcb306a34d9d626e08b3">
  <xsd:schema xmlns:xsd="http://www.w3.org/2001/XMLSchema" xmlns:xs="http://www.w3.org/2001/XMLSchema" xmlns:p="http://schemas.microsoft.com/office/2006/metadata/properties" xmlns:ns3="fb8e040e-a690-4246-a65b-1d7ef70f1b02" xmlns:ns4="90411de3-9360-4940-b535-a11cb48a83ac" targetNamespace="http://schemas.microsoft.com/office/2006/metadata/properties" ma:root="true" ma:fieldsID="29a14477eabefc9281c9846350997b48" ns3:_="" ns4:_="">
    <xsd:import namespace="fb8e040e-a690-4246-a65b-1d7ef70f1b02"/>
    <xsd:import namespace="90411de3-9360-4940-b535-a11cb48a83a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8e040e-a690-4246-a65b-1d7ef70f1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_activity" ma:index="15"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0411de3-9360-4940-b535-a11cb48a83a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b8e040e-a690-4246-a65b-1d7ef70f1b02" xsi:nil="true"/>
  </documentManagement>
</p:properties>
</file>

<file path=customXml/itemProps1.xml><?xml version="1.0" encoding="utf-8"?>
<ds:datastoreItem xmlns:ds="http://schemas.openxmlformats.org/officeDocument/2006/customXml" ds:itemID="{3F2B8F3E-C8D5-499A-B55C-69654F0785C6}"/>
</file>

<file path=customXml/itemProps2.xml><?xml version="1.0" encoding="utf-8"?>
<ds:datastoreItem xmlns:ds="http://schemas.openxmlformats.org/officeDocument/2006/customXml" ds:itemID="{62669DA5-05CE-4621-BBF7-5ED885CEDC85}"/>
</file>

<file path=customXml/itemProps3.xml><?xml version="1.0" encoding="utf-8"?>
<ds:datastoreItem xmlns:ds="http://schemas.openxmlformats.org/officeDocument/2006/customXml" ds:itemID="{D5D3CCAB-46D5-4EFB-BC0B-88DC8231A5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Liam Kaneteg</dc:creator>
  <cp:keywords/>
  <dc:description/>
  <cp:lastModifiedBy/>
  <cp:revision/>
  <dcterms:created xsi:type="dcterms:W3CDTF">2023-10-19T19:31:10Z</dcterms:created>
  <dcterms:modified xsi:type="dcterms:W3CDTF">2026-05-12T04:58:02Z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0x010100160C85C6CF2C4D48BC4ECCA7D15B69D6</vt:lpwstr>
  </property>
</Properties>
</file>